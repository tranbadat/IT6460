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Tong_quan" sheetId="1" state="visible" r:id="rId3"/>
    <sheet name="Lich_trinh" sheetId="2" state="visible" r:id="rId4"/>
    <sheet name="Sprint" sheetId="3" state="visible" r:id="rId5"/>
    <sheet name="Moc" sheetId="4" state="visible" r:id="rId6"/>
    <sheet name="Giai_doan" sheetId="5" state="visible" r:id="rId7"/>
    <sheet name="Phan_bo" sheetId="6" state="visible" r:id="rId8"/>
    <sheet name="Tai_nguon" sheetId="7" state="visible" r:id="rId9"/>
    <sheet name="Nhu_cau" sheetId="8" state="visible" r:id="rId10"/>
    <sheet name="Cam_ket" sheetId="9" state="visible" r:id="rId11"/>
    <sheet name="Huong_dan"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<sst xmlns="http://schemas.openxmlformats.org/spreadsheetml/2006/main" count="2006" uniqueCount="783">
  <si>
    <t xml:space="preserve">Master schedule</t>
  </si>
  <si>
    <t xml:space="preserve">Xây dựng và triển khai hệ thống website bán hàng trực tuyến (Web Selling Site System)</t>
  </si>
  <si>
    <t xml:space="preserve">Ngày nghỉ</t>
  </si>
  <si>
    <t xml:space="preserve">Ngày bắt đầu</t>
  </si>
  <si>
    <t xml:space="preserve">Ngày cut over</t>
  </si>
  <si>
    <t xml:space="preserve">Số ngày làm việc</t>
  </si>
  <si>
    <t xml:space="preserve">Tổng khối lượng, MD</t>
  </si>
  <si>
    <t xml:space="preserve">Quỹ thời gian, MD</t>
  </si>
  <si>
    <t xml:space="preserve">Tỷ lệ sử dụng quỹ</t>
  </si>
  <si>
    <t xml:space="preserve">Hoàn thành giai đoạn Thực hiện (không tính gói dàn trải và gói Kết thúc)</t>
  </si>
  <si>
    <t xml:space="preserve">Dự trữ đến cut over, ngày làm việc (trước các gói gắn ngày cố định)</t>
  </si>
  <si>
    <t xml:space="preserve">Số sprint</t>
  </si>
  <si>
    <t xml:space="preserve">Đường găng theo phụ thuộc, ngày</t>
  </si>
  <si>
    <t xml:space="preserve">Ngưỡng tỷ lệ sử dụng quỹ tối thiểu</t>
  </si>
  <si>
    <t xml:space="preserve">Ngày đóng dự án (hết giai đoạn Kết thúc)</t>
  </si>
  <si>
    <t xml:space="preserve">Chữ xanh dương: dữ liệu do bước lập lịch tính từ WBS, giao việc và lịch làm việc. Chữ đen: công thức. Không sửa tay dữ liệu xanh dương. Khi cần thay đổi, sửa đầu vào (WBS, giao việc, mốc) và lập lại lịch.</t>
  </si>
  <si>
    <t xml:space="preserve">Lịch trình theo WBS</t>
  </si>
  <si>
    <t xml:space="preserve">Mã WBS</t>
  </si>
  <si>
    <t xml:space="preserve">Tên công việc</t>
  </si>
  <si>
    <t xml:space="preserve">Mức</t>
  </si>
  <si>
    <t xml:space="preserve">MD</t>
  </si>
  <si>
    <t xml:space="preserve">Người thực hiện</t>
  </si>
  <si>
    <t xml:space="preserve">Bắt đầu</t>
  </si>
  <si>
    <t xml:space="preserve">Kết thúc</t>
  </si>
  <si>
    <t xml:space="preserve">Giai đoạn</t>
  </si>
  <si>
    <t xml:space="preserve">Sprint</t>
  </si>
  <si>
    <t xml:space="preserve">Phụ thuộc</t>
  </si>
  <si>
    <t xml:space="preserve">Đường găng</t>
  </si>
  <si>
    <t xml:space="preserve">Mục cha</t>
  </si>
  <si>
    <t xml:space="preserve">Ràng buộc ngày</t>
  </si>
  <si>
    <t xml:space="preserve">T1</t>
  </si>
  <si>
    <t xml:space="preserve">T2</t>
  </si>
  <si>
    <t xml:space="preserve">T3</t>
  </si>
  <si>
    <t xml:space="preserve">T4</t>
  </si>
  <si>
    <t xml:space="preserve">T5</t>
  </si>
  <si>
    <t xml:space="preserve">T6</t>
  </si>
  <si>
    <t xml:space="preserve">T7</t>
  </si>
  <si>
    <t xml:space="preserve">T8</t>
  </si>
  <si>
    <t xml:space="preserve">T9</t>
  </si>
  <si>
    <t xml:space="preserve">T10</t>
  </si>
  <si>
    <t xml:space="preserve">T11</t>
  </si>
  <si>
    <t xml:space="preserve">T12</t>
  </si>
  <si>
    <t xml:space="preserve">T13</t>
  </si>
  <si>
    <t xml:space="preserve">T14</t>
  </si>
  <si>
    <t xml:space="preserve">T15</t>
  </si>
  <si>
    <t xml:space="preserve">T16</t>
  </si>
  <si>
    <t xml:space="preserve">T17</t>
  </si>
  <si>
    <t xml:space="preserve">T18</t>
  </si>
  <si>
    <t xml:space="preserve">T19</t>
  </si>
  <si>
    <t xml:space="preserve">T20</t>
  </si>
  <si>
    <t xml:space="preserve">T21</t>
  </si>
  <si>
    <t xml:space="preserve">T22</t>
  </si>
  <si>
    <t xml:space="preserve">1</t>
  </si>
  <si>
    <t xml:space="preserve">Phân hệ quản lý sản phẩm</t>
  </si>
  <si>
    <t xml:space="preserve">Khởi động, Suốt dự án, S1-S9, Kết thúc</t>
  </si>
  <si>
    <t xml:space="preserve">1.1</t>
  </si>
  <si>
    <t xml:space="preserve">Quản lý dự án, phần phân bổ cho phân hệ quản lý sản phẩm</t>
  </si>
  <si>
    <t xml:space="preserve">Khởi động, Suốt dự án, Kết thúc</t>
  </si>
  <si>
    <t xml:space="preserve">1.1.1</t>
  </si>
  <si>
    <t xml:space="preserve">Họp khởi động, xác nhận phạm vi, điều kiện tiền đề, vai trò và trách nhiệm các bên</t>
  </si>
  <si>
    <t xml:space="preserve">Trần Bá Đạt</t>
  </si>
  <si>
    <t xml:space="preserve">Khởi động</t>
  </si>
  <si>
    <t xml:space="preserve">1.1.2</t>
  </si>
  <si>
    <t xml:space="preserve">Họp tiến độ hằng tuần, trình diễn và báo cáo cuối sprint, phần phân hệ quản lý sản phẩm</t>
  </si>
  <si>
    <t xml:space="preserve">Trần Bá Đạt (dàn trải)</t>
  </si>
  <si>
    <t xml:space="preserve">Suốt dự án</t>
  </si>
  <si>
    <t xml:space="preserve">1.1.3</t>
  </si>
  <si>
    <t xml:space="preserve">Quản lý rủi ro, vấn đề và yêu cầu thay đổi đặc tả, phần phân hệ quản lý sản phẩm</t>
  </si>
  <si>
    <t xml:space="preserve">1.1.4</t>
  </si>
  <si>
    <t xml:space="preserve">Quản lý cấu hình, phiên bản tài liệu, hồ sơ dự án, hồ sơ nghiệm thu và thanh toán, phần phân hệ quản lý sản phẩm</t>
  </si>
  <si>
    <t xml:space="preserve">1.1.5</t>
  </si>
  <si>
    <t xml:space="preserve">Báo cáo tổng kết, bài học kinh nghiệm và bàn giao hồ sơ dự án</t>
  </si>
  <si>
    <t xml:space="preserve">4.4.5</t>
  </si>
  <si>
    <t xml:space="preserve">1.2</t>
  </si>
  <si>
    <t xml:space="preserve">Phân tích và thiết kế phân hệ quản lý sản phẩm</t>
  </si>
  <si>
    <t xml:space="preserve">Thực hiện</t>
  </si>
  <si>
    <t xml:space="preserve">S1-S4</t>
  </si>
  <si>
    <t xml:space="preserve">1.2.1</t>
  </si>
  <si>
    <t xml:space="preserve">Đặc tả chức năng (Function) tìm kiếm và hiển thị sản phẩm</t>
  </si>
  <si>
    <t xml:space="preserve">Nguyễn Hoàng Nam, Trần Bá Đạt</t>
  </si>
  <si>
    <t xml:space="preserve">S1</t>
  </si>
  <si>
    <t xml:space="preserve">3.2.1</t>
  </si>
  <si>
    <t xml:space="preserve">1.2.2</t>
  </si>
  <si>
    <t xml:space="preserve">Sơ đồ phân cấp menu (Menu Layer)</t>
  </si>
  <si>
    <t xml:space="preserve">Nguyễn Hoàng Nam</t>
  </si>
  <si>
    <t xml:space="preserve">S2</t>
  </si>
  <si>
    <t xml:space="preserve">1.2.3</t>
  </si>
  <si>
    <t xml:space="preserve">Thiết kế giao diện ưu tiên trang chủ, tìm kiếm và chi tiết sản phẩm</t>
  </si>
  <si>
    <t xml:space="preserve">Vũ Đức Minh, Lê Quang Huy</t>
  </si>
  <si>
    <t xml:space="preserve">1.2.2, 2.2.3</t>
  </si>
  <si>
    <t xml:space="preserve">1.2.4</t>
  </si>
  <si>
    <t xml:space="preserve">Thư viện thành phần giao diện dùng chung, tương thích thiết bị di động</t>
  </si>
  <si>
    <t xml:space="preserve">Vũ Đức Minh</t>
  </si>
  <si>
    <t xml:space="preserve">1.2.3, 4.3.3</t>
  </si>
  <si>
    <t xml:space="preserve">1.2.5</t>
  </si>
  <si>
    <t xml:space="preserve">Đặc tả use case tìm kiếm, lọc và sắp xếp sản phẩm</t>
  </si>
  <si>
    <t xml:space="preserve">1.2.6</t>
  </si>
  <si>
    <t xml:space="preserve">Đặc tả use case trang chủ, danh mục và chi tiết sản phẩm</t>
  </si>
  <si>
    <t xml:space="preserve">Nguyễn Thị Phương Liên</t>
  </si>
  <si>
    <t xml:space="preserve">S3</t>
  </si>
  <si>
    <t xml:space="preserve">1.2.1, 1.2.2</t>
  </si>
  <si>
    <t xml:space="preserve">1.2.7</t>
  </si>
  <si>
    <t xml:space="preserve">Thiết kế chi tiết tìm kiếm, lọc, sắp xếp và chỉ mục tìm kiếm</t>
  </si>
  <si>
    <t xml:space="preserve">Ninh Đức Toàn</t>
  </si>
  <si>
    <t xml:space="preserve">S2-S3</t>
  </si>
  <si>
    <t xml:space="preserve">1.2.1, 4.2.3, 1.2.5</t>
  </si>
  <si>
    <t xml:space="preserve">1.2.8</t>
  </si>
  <si>
    <t xml:space="preserve">Thiết kế chi tiết trang chủ, danh mục và chi tiết sản phẩm</t>
  </si>
  <si>
    <t xml:space="preserve">S3-S4</t>
  </si>
  <si>
    <t xml:space="preserve">1.2.1, 1.2.2, 4.2.3, 1.2.6</t>
  </si>
  <si>
    <t xml:space="preserve">1.3</t>
  </si>
  <si>
    <t xml:space="preserve">Xây dựng phân hệ quản lý sản phẩm (lập trình và kiểm thử đơn vị)</t>
  </si>
  <si>
    <t xml:space="preserve">S3-S5</t>
  </si>
  <si>
    <t xml:space="preserve">1.3.1</t>
  </si>
  <si>
    <t xml:space="preserve">Dịch vụ chỉ mục tìm kiếm và cập nhật chỉ mục từ Selling DB</t>
  </si>
  <si>
    <t xml:space="preserve">Trương Quốc Việt</t>
  </si>
  <si>
    <t xml:space="preserve">1.2.7, 4.3.2</t>
  </si>
  <si>
    <t xml:space="preserve">1.3.2</t>
  </si>
  <si>
    <t xml:space="preserve">Dịch vụ tìm kiếm theo từ khóa và gợi ý tìm kiếm</t>
  </si>
  <si>
    <t xml:space="preserve">Phạm Tuấn Anh</t>
  </si>
  <si>
    <t xml:space="preserve">S4</t>
  </si>
  <si>
    <t xml:space="preserve">1.3.3</t>
  </si>
  <si>
    <t xml:space="preserve">Dịch vụ lọc và sắp xếp kết quả tìm kiếm</t>
  </si>
  <si>
    <t xml:space="preserve">1.3.4</t>
  </si>
  <si>
    <t xml:space="preserve">Dịch vụ danh mục, chi tiết sản phẩm, biến thể, tồn kho và giá khuyến mại hiển thị</t>
  </si>
  <si>
    <t xml:space="preserve">Đỗ Minh Quân, Lê Quang Huy</t>
  </si>
  <si>
    <t xml:space="preserve">S4-S5</t>
  </si>
  <si>
    <t xml:space="preserve">1.2.8, 4.3.2</t>
  </si>
  <si>
    <t xml:space="preserve">1.3.5</t>
  </si>
  <si>
    <t xml:space="preserve">Giao diện trang chủ và điều hướng danh mục theo Menu Layer</t>
  </si>
  <si>
    <t xml:space="preserve">1.2.8, 1.2.4</t>
  </si>
  <si>
    <t xml:space="preserve">1.3.6</t>
  </si>
  <si>
    <t xml:space="preserve">Giao diện tìm kiếm, kết quả và bộ lọc</t>
  </si>
  <si>
    <t xml:space="preserve">Lê Quang Huy, Bùi Anh Tuấn</t>
  </si>
  <si>
    <t xml:space="preserve">1.2.7, 1.2.4</t>
  </si>
  <si>
    <t xml:space="preserve">1.3.7</t>
  </si>
  <si>
    <t xml:space="preserve">Giao diện chi tiết sản phẩm</t>
  </si>
  <si>
    <t xml:space="preserve">Lê Quang Huy</t>
  </si>
  <si>
    <t xml:space="preserve">1.3.8</t>
  </si>
  <si>
    <t xml:space="preserve">Bộ nhớ đệm và tối ưu thời gian phản hồi trang danh mục, chi tiết sản phẩm</t>
  </si>
  <si>
    <t xml:space="preserve">Phạm Tuấn Anh, Đỗ Minh Quân</t>
  </si>
  <si>
    <t xml:space="preserve">S5</t>
  </si>
  <si>
    <t xml:space="preserve">1.4</t>
  </si>
  <si>
    <t xml:space="preserve">Kiểm thử phân hệ quản lý sản phẩm, gồm phần kiểm thử hệ thống và kiểm thử chấp nhận phân bổ</t>
  </si>
  <si>
    <t xml:space="preserve">S4-S9</t>
  </si>
  <si>
    <t xml:space="preserve">1.4.1</t>
  </si>
  <si>
    <t xml:space="preserve">Kịch bản kiểm thử và bộ kiểm thử tự động phân hệ quản lý sản phẩm</t>
  </si>
  <si>
    <t xml:space="preserve">Vũ Đức Minh, Ninh Đức Toàn</t>
  </si>
  <si>
    <t xml:space="preserve">1.2.5, 1.2.6</t>
  </si>
  <si>
    <t xml:space="preserve">1.4.2</t>
  </si>
  <si>
    <t xml:space="preserve">Kiểm thử tìm kiếm, lọc và sắp xếp sản phẩm</t>
  </si>
  <si>
    <t xml:space="preserve">1.4.1, 1.3.1, 1.3.2, 1.3.3, 1.3.6</t>
  </si>
  <si>
    <t xml:space="preserve">1.4.3</t>
  </si>
  <si>
    <t xml:space="preserve">Kiểm thử trang chủ, danh mục và chi tiết sản phẩm</t>
  </si>
  <si>
    <t xml:space="preserve">Nguyễn Thị Phương Liên, Ninh Đức Toàn, Phạm Ngọc Anh</t>
  </si>
  <si>
    <t xml:space="preserve">S6</t>
  </si>
  <si>
    <t xml:space="preserve">1.4.1, 1.3.4, 1.3.5, 1.3.7, 1.3.8</t>
  </si>
  <si>
    <t xml:space="preserve">1.4.4</t>
  </si>
  <si>
    <t xml:space="preserve">Sửa lỗi và kiểm thử lại chức năng tìm kiếm, lọc và sắp xếp</t>
  </si>
  <si>
    <t xml:space="preserve">1.4.5</t>
  </si>
  <si>
    <t xml:space="preserve">Kiểm thử tương thích trình duyệt, thiết bị di động và thời gian phản hồi phân hệ quản lý sản phẩm</t>
  </si>
  <si>
    <t xml:space="preserve">S5-S6</t>
  </si>
  <si>
    <t xml:space="preserve">1.4.1, 1.3.5, 1.3.6, 1.3.7, 1.3.8</t>
  </si>
  <si>
    <t xml:space="preserve">1.4.6</t>
  </si>
  <si>
    <t xml:space="preserve">Sửa lỗi và kiểm thử lại trang chủ, danh mục và chi tiết sản phẩm</t>
  </si>
  <si>
    <t xml:space="preserve">Đỗ Minh Quân</t>
  </si>
  <si>
    <t xml:space="preserve">S7</t>
  </si>
  <si>
    <t xml:space="preserve">1.4.3, 1.4.5</t>
  </si>
  <si>
    <t xml:space="preserve">1.4.7</t>
  </si>
  <si>
    <t xml:space="preserve">Tài liệu chức năng và nghiệm thu nội bộ phân hệ quản lý sản phẩm</t>
  </si>
  <si>
    <t xml:space="preserve">S8</t>
  </si>
  <si>
    <t xml:space="preserve">1.4.4, 1.4.6</t>
  </si>
  <si>
    <t xml:space="preserve">1.4.8</t>
  </si>
  <si>
    <t xml:space="preserve">Kịch bản và công cụ kiểm thử hiệu năng, chịu tải 500 người dùng đồng thời</t>
  </si>
  <si>
    <t xml:space="preserve">Vũ Đức Minh, Nguyễn Thị Phương Liên</t>
  </si>
  <si>
    <t xml:space="preserve">2.4.8</t>
  </si>
  <si>
    <t xml:space="preserve">1.4.9</t>
  </si>
  <si>
    <t xml:space="preserve">Kiểm thử hiệu năng trên môi trường kiểm thử</t>
  </si>
  <si>
    <t xml:space="preserve">Phạm Ngọc Anh</t>
  </si>
  <si>
    <t xml:space="preserve">S6-S7</t>
  </si>
  <si>
    <t xml:space="preserve">1.4.8, 1.3.8, 4.5.1</t>
  </si>
  <si>
    <t xml:space="preserve">1.4.10</t>
  </si>
  <si>
    <t xml:space="preserve">Tối ưu hiệu năng và khắc phục lỗ hổng theo kết quả kiểm thử bản phát hành</t>
  </si>
  <si>
    <t xml:space="preserve">S9</t>
  </si>
  <si>
    <t xml:space="preserve">4.4.7</t>
  </si>
  <si>
    <t xml:space="preserve">1.4.11</t>
  </si>
  <si>
    <t xml:space="preserve">Tổ chức và hỗ trợ kiểm thử chấp nhận cùng Chủ đầu tư luồng tìm kiếm và hiển thị sản phẩm</t>
  </si>
  <si>
    <t xml:space="preserve">Trần Thu Hà</t>
  </si>
  <si>
    <t xml:space="preserve">3.4.11, 4.4.5, 3.5.1</t>
  </si>
  <si>
    <t xml:space="preserve">Có</t>
  </si>
  <si>
    <t xml:space="preserve">Kiểm thử chấp nhận 16/07/2027 - 27/07/2027, trong khoảng cam kết CK6 16/07/2027 - 27/07/2027</t>
  </si>
  <si>
    <t xml:space="preserve">1.4.12</t>
  </si>
  <si>
    <t xml:space="preserve">Khắc phục lỗi và điều chỉnh theo kết quả kiểm thử chấp nhận phân hệ quản lý sản phẩm</t>
  </si>
  <si>
    <t xml:space="preserve">Không sớm hơn 16/07/2027</t>
  </si>
  <si>
    <t xml:space="preserve">1.5</t>
  </si>
  <si>
    <t xml:space="preserve">Triển khai và chuyển giao, phần phân bổ cho phân hệ quản lý sản phẩm</t>
  </si>
  <si>
    <t xml:space="preserve">S1-S9</t>
  </si>
  <si>
    <t xml:space="preserve">1.5.1</t>
  </si>
  <si>
    <t xml:space="preserve">Môi trường phát triển, kiểm thử và quy trình tích hợp, triển khai tự động</t>
  </si>
  <si>
    <t xml:space="preserve">S1-S2</t>
  </si>
  <si>
    <t xml:space="preserve">1.5.2</t>
  </si>
  <si>
    <t xml:space="preserve">Chuyển đổi dữ liệu chính thức và triển khai phiên bản chính thức</t>
  </si>
  <si>
    <t xml:space="preserve">Bùi Anh Tuấn, Trương Quốc Việt</t>
  </si>
  <si>
    <t xml:space="preserve">3.5.3, 1.4.11, 2.4.12, 3.4.13, 5.4.5, 5.5.1</t>
  </si>
  <si>
    <t xml:space="preserve">Không sớm hơn 28/07/2027</t>
  </si>
  <si>
    <t xml:space="preserve">1.5.3</t>
  </si>
  <si>
    <t xml:space="preserve">Bàn giao mã nguồn, tài liệu kỹ thuật, tài liệu cài đặt và danh mục thư viện</t>
  </si>
  <si>
    <t xml:space="preserve">1.4.12, 2.4.13, 3.4.14, 4.4.9, 5.5.3</t>
  </si>
  <si>
    <t xml:space="preserve">2</t>
  </si>
  <si>
    <t xml:space="preserve">Phân hệ quản lý khách hàng (thành viên)</t>
  </si>
  <si>
    <t xml:space="preserve">Khởi động, Suốt dự án, S1-S9</t>
  </si>
  <si>
    <t xml:space="preserve">2.1</t>
  </si>
  <si>
    <t xml:space="preserve">Quản lý dự án, phần phân bổ cho phân hệ quản lý khách hàng</t>
  </si>
  <si>
    <t xml:space="preserve">Khởi động, Suốt dự án</t>
  </si>
  <si>
    <t xml:space="preserve">2.1.1</t>
  </si>
  <si>
    <t xml:space="preserve">Kế hoạch bảo đảm chất lượng, quy chuẩn mã nguồn và tiêu chí hoàn thành công việc</t>
  </si>
  <si>
    <t xml:space="preserve">2.1.2</t>
  </si>
  <si>
    <t xml:space="preserve">Họp tiến độ hằng tuần, trình diễn và báo cáo cuối sprint, phần phân hệ quản lý khách hàng</t>
  </si>
  <si>
    <t xml:space="preserve">2.1.3</t>
  </si>
  <si>
    <t xml:space="preserve">Quản lý rủi ro, vấn đề và yêu cầu thay đổi đặc tả, phần phân hệ quản lý khách hàng</t>
  </si>
  <si>
    <t xml:space="preserve">2.1.4</t>
  </si>
  <si>
    <t xml:space="preserve">Quản lý cấu hình, phiên bản tài liệu, hồ sơ dự án, hồ sơ nghiệm thu và thanh toán, phần phân hệ quản lý khách hàng</t>
  </si>
  <si>
    <t xml:space="preserve">2.2</t>
  </si>
  <si>
    <t xml:space="preserve">Phân tích và thiết kế phân hệ quản lý khách hàng</t>
  </si>
  <si>
    <t xml:space="preserve">S1-S3</t>
  </si>
  <si>
    <t xml:space="preserve">2.2.1</t>
  </si>
  <si>
    <t xml:space="preserve">Đặc tả chức năng (Function) quản lý thành viên</t>
  </si>
  <si>
    <t xml:space="preserve">2.2.2</t>
  </si>
  <si>
    <t xml:space="preserve">Đặc tả yêu cầu phi chức năng về hoạt động liên tục, thời gian phản hồi, bảo mật và thao tác</t>
  </si>
  <si>
    <t xml:space="preserve">4.2.1</t>
  </si>
  <si>
    <t xml:space="preserve">2.2.3</t>
  </si>
  <si>
    <t xml:space="preserve">Nghiên cứu hành vi người dùng và khung giao diện các trang chính</t>
  </si>
  <si>
    <t xml:space="preserve">2.2.4</t>
  </si>
  <si>
    <t xml:space="preserve">Thiết kế giao diện ưu tiên đăng ký, đăng nhập và trang thành viên</t>
  </si>
  <si>
    <t xml:space="preserve">2.2.3, 2.2.1</t>
  </si>
  <si>
    <t xml:space="preserve">2.2.5</t>
  </si>
  <si>
    <t xml:space="preserve">Đặc tả use case đăng ký, xác thực thư điện tử, đăng nhập và khôi phục mật khẩu</t>
  </si>
  <si>
    <t xml:space="preserve">2.2.6</t>
  </si>
  <si>
    <t xml:space="preserve">Đặc tả use case thông tin thành viên, sổ địa chỉ giao hàng và đổi mật khẩu</t>
  </si>
  <si>
    <t xml:space="preserve">2.2.7</t>
  </si>
  <si>
    <t xml:space="preserve">Thiết kế chi tiết đăng ký, đăng nhập, phiên làm việc và bảo mật tài khoản</t>
  </si>
  <si>
    <t xml:space="preserve">2.2.1, 4.2.3, 2.2.5</t>
  </si>
  <si>
    <t xml:space="preserve">2.2.8</t>
  </si>
  <si>
    <t xml:space="preserve">Thiết kế chi tiết thông tin thành viên và sổ địa chỉ</t>
  </si>
  <si>
    <t xml:space="preserve">2.2.1, 4.2.3, 2.2.6</t>
  </si>
  <si>
    <t xml:space="preserve">2.3</t>
  </si>
  <si>
    <t xml:space="preserve">Xây dựng phân hệ quản lý khách hàng (lập trình và kiểm thử đơn vị)</t>
  </si>
  <si>
    <t xml:space="preserve">2.3.1</t>
  </si>
  <si>
    <t xml:space="preserve">Dịch vụ đăng ký thành viên và xác thực địa chỉ thư điện tử</t>
  </si>
  <si>
    <t xml:space="preserve">Bùi Anh Tuấn</t>
  </si>
  <si>
    <t xml:space="preserve">2.2.7, 4.3.2, 4.3.4</t>
  </si>
  <si>
    <t xml:space="preserve">2.3.2</t>
  </si>
  <si>
    <t xml:space="preserve">Dịch vụ đăng nhập, phiên làm việc và giới hạn đăng nhập sai</t>
  </si>
  <si>
    <t xml:space="preserve">2.2.7, 4.3.2</t>
  </si>
  <si>
    <t xml:space="preserve">2.3.3</t>
  </si>
  <si>
    <t xml:space="preserve">Dịch vụ khôi phục và đổi mật khẩu</t>
  </si>
  <si>
    <t xml:space="preserve">2.3.4</t>
  </si>
  <si>
    <t xml:space="preserve">Dịch vụ thông tin thành viên và sổ địa chỉ giao hàng</t>
  </si>
  <si>
    <t xml:space="preserve">2.2.8, 4.3.2</t>
  </si>
  <si>
    <t xml:space="preserve">2.3.5</t>
  </si>
  <si>
    <t xml:space="preserve">Dịch vụ đồng ý điều khoản và bảo vệ dữ liệu cá nhân của thành viên</t>
  </si>
  <si>
    <t xml:space="preserve">2.3.6</t>
  </si>
  <si>
    <t xml:space="preserve">Giao diện đăng ký, đăng nhập và khôi phục mật khẩu</t>
  </si>
  <si>
    <t xml:space="preserve">2.2.7, 1.2.4</t>
  </si>
  <si>
    <t xml:space="preserve">2.3.7</t>
  </si>
  <si>
    <t xml:space="preserve">Giao diện trang thành viên và sổ địa chỉ</t>
  </si>
  <si>
    <t xml:space="preserve">Phạm Tuấn Anh, Nguyễn Hoàng Nam</t>
  </si>
  <si>
    <t xml:space="preserve">2.2.8, 1.2.4</t>
  </si>
  <si>
    <t xml:space="preserve">2.4</t>
  </si>
  <si>
    <t xml:space="preserve">Kiểm thử phân hệ quản lý khách hàng, gồm phần kiểm thử hệ thống và kiểm thử chấp nhận phân bổ</t>
  </si>
  <si>
    <t xml:space="preserve">S3-S9</t>
  </si>
  <si>
    <t xml:space="preserve">2.4.1</t>
  </si>
  <si>
    <t xml:space="preserve">Kịch bản kiểm thử và bộ kiểm thử tự động phân hệ quản lý khách hàng</t>
  </si>
  <si>
    <t xml:space="preserve">2.2.5, 2.2.6</t>
  </si>
  <si>
    <t xml:space="preserve">2.4.2</t>
  </si>
  <si>
    <t xml:space="preserve">Kiểm thử đăng ký, đăng nhập và khôi phục mật khẩu</t>
  </si>
  <si>
    <t xml:space="preserve">2.4.1, 2.3.1, 2.3.2, 2.3.3, 2.3.6</t>
  </si>
  <si>
    <t xml:space="preserve">2.4.3</t>
  </si>
  <si>
    <t xml:space="preserve">Kiểm thử thông tin thành viên, sổ địa chỉ và đồng ý điều khoản</t>
  </si>
  <si>
    <t xml:space="preserve">Nguyễn Thị Phương Liên, Ninh Đức Toàn</t>
  </si>
  <si>
    <t xml:space="preserve">2.4.1, 2.3.4, 2.3.5, 2.3.7</t>
  </si>
  <si>
    <t xml:space="preserve">2.4.4</t>
  </si>
  <si>
    <t xml:space="preserve">Sửa lỗi và kiểm thử lại đăng ký, đăng nhập và bảo mật tài khoản</t>
  </si>
  <si>
    <t xml:space="preserve">2.4.2, 2.4.5</t>
  </si>
  <si>
    <t xml:space="preserve">2.4.5</t>
  </si>
  <si>
    <t xml:space="preserve">Kiểm thử bảo mật tài khoản theo OWASP Top 10 và tương thích thiết bị phân hệ quản lý khách hàng</t>
  </si>
  <si>
    <t xml:space="preserve">2.4.6</t>
  </si>
  <si>
    <t xml:space="preserve">Sửa lỗi và kiểm thử lại thông tin thành viên và sổ địa chỉ</t>
  </si>
  <si>
    <t xml:space="preserve">2.4.7</t>
  </si>
  <si>
    <t xml:space="preserve">Tài liệu chức năng và nghiệm thu nội bộ phân hệ quản lý khách hàng</t>
  </si>
  <si>
    <t xml:space="preserve">S7-S8</t>
  </si>
  <si>
    <t xml:space="preserve">2.4.4, 2.4.6</t>
  </si>
  <si>
    <t xml:space="preserve">Kế hoạch kiểm thử hệ thống, kiểm thử chấp nhận và tiêu chí đạt</t>
  </si>
  <si>
    <t xml:space="preserve">2.2.2, 2.1.1</t>
  </si>
  <si>
    <t xml:space="preserve">2.4.9</t>
  </si>
  <si>
    <t xml:space="preserve">Đánh giá khả năng sử dụng của giao diện (Easy Operation)</t>
  </si>
  <si>
    <t xml:space="preserve">1.4.3, 2.4.2, 3.4.3</t>
  </si>
  <si>
    <t xml:space="preserve">2.4.10</t>
  </si>
  <si>
    <t xml:space="preserve">Rà soát lỗ hổng bảo mật theo OWASP Top 10 trên môi trường kiểm thử</t>
  </si>
  <si>
    <t xml:space="preserve">2.4.5, 3.4.3</t>
  </si>
  <si>
    <t xml:space="preserve">2.4.11</t>
  </si>
  <si>
    <t xml:space="preserve">Kiểm thử hồi quy theo các đợt khắc phục lỗi kiểm thử chấp nhận</t>
  </si>
  <si>
    <t xml:space="preserve">2.4.12</t>
  </si>
  <si>
    <t xml:space="preserve">Tổ chức và hỗ trợ kiểm thử chấp nhận cùng Chủ đầu tư luồng đăng ký, đăng nhập và thành viên</t>
  </si>
  <si>
    <t xml:space="preserve">2.4.13</t>
  </si>
  <si>
    <t xml:space="preserve">Khắc phục lỗi và điều chỉnh theo kết quả kiểm thử chấp nhận phân hệ quản lý khách hàng</t>
  </si>
  <si>
    <t xml:space="preserve">2.5</t>
  </si>
  <si>
    <t xml:space="preserve">Triển khai và chuyển giao, phần phân bổ cho phân hệ quản lý khách hàng</t>
  </si>
  <si>
    <t xml:space="preserve">S6-S9</t>
  </si>
  <si>
    <t xml:space="preserve">2.5.1</t>
  </si>
  <si>
    <t xml:space="preserve">Tài liệu hướng dẫn sử dụng cho khách hàng và cán bộ bán hàng</t>
  </si>
  <si>
    <t xml:space="preserve">1.3.5, 1.3.6, 1.3.7, 2.3.6, 2.3.7, 3.3.8, 3.3.9, 3.3.10</t>
  </si>
  <si>
    <t xml:space="preserve">2.5.2</t>
  </si>
  <si>
    <t xml:space="preserve">Tài liệu hướng dẫn vận hành và quản trị kỹ thuật hệ thống</t>
  </si>
  <si>
    <t xml:space="preserve">4.5.2</t>
  </si>
  <si>
    <t xml:space="preserve">2.5.3</t>
  </si>
  <si>
    <t xml:space="preserve">Cập nhật tài liệu hướng dẫn sử dụng theo kết quả kiểm thử chấp nhận</t>
  </si>
  <si>
    <t xml:space="preserve">Nguyễn Thị Phương Liên, Nguyễn Hoàng Nam</t>
  </si>
  <si>
    <t xml:space="preserve">2.5.1, 4.4.5, 1.4.11, 2.4.12, 3.4.13</t>
  </si>
  <si>
    <t xml:space="preserve">3</t>
  </si>
  <si>
    <t xml:space="preserve">Phân hệ quản lý đơn hàng (đặt hàng)</t>
  </si>
  <si>
    <t xml:space="preserve">3.1</t>
  </si>
  <si>
    <t xml:space="preserve">Quản lý dự án, phần phân bổ cho phân hệ quản lý đơn hàng</t>
  </si>
  <si>
    <t xml:space="preserve">3.1.1</t>
  </si>
  <si>
    <t xml:space="preserve">Kế hoạch quản lý dự án gồm phạm vi, tiến độ, tổ chức thực hiện, kế hoạch họp, quản lý rủi ro và thay đổi đặc tả</t>
  </si>
  <si>
    <t xml:space="preserve">3.1.2</t>
  </si>
  <si>
    <t xml:space="preserve">Xác nhận kế hoạch quản lý dự án của Chủ đầu tư</t>
  </si>
  <si>
    <t xml:space="preserve">Chủ đầu tư phê duyệt 5 ngày</t>
  </si>
  <si>
    <t xml:space="preserve">3.1.3</t>
  </si>
  <si>
    <t xml:space="preserve">Họp tiến độ hằng tuần, trình diễn và báo cáo cuối sprint, phần phân hệ quản lý đơn hàng</t>
  </si>
  <si>
    <t xml:space="preserve">3.1.4</t>
  </si>
  <si>
    <t xml:space="preserve">Quản lý rủi ro, vấn đề và yêu cầu thay đổi đặc tả, phần phân hệ quản lý đơn hàng</t>
  </si>
  <si>
    <t xml:space="preserve">3.1.5</t>
  </si>
  <si>
    <t xml:space="preserve">Quản lý cấu hình, phiên bản tài liệu, hồ sơ dự án, hồ sơ nghiệm thu và thanh toán, phần phân hệ quản lý đơn hàng</t>
  </si>
  <si>
    <t xml:space="preserve">3.1.6</t>
  </si>
  <si>
    <t xml:space="preserve">Cập nhật sổ rủi ro, kế hoạch quản lý thay đổi và cấu hình theo đặc tả đã xác nhận</t>
  </si>
  <si>
    <t xml:space="preserve">3.2.5</t>
  </si>
  <si>
    <t xml:space="preserve">3.2</t>
  </si>
  <si>
    <t xml:space="preserve">Phân tích và thiết kế phân hệ quản lý đơn hàng</t>
  </si>
  <si>
    <t xml:space="preserve">S1-S8</t>
  </si>
  <si>
    <t xml:space="preserve">Khảo sát nghiệp vụ bán hàng trực tuyến và quy trình hiện tại của Chủ đầu tư</t>
  </si>
  <si>
    <t xml:space="preserve">3.2.2</t>
  </si>
  <si>
    <t xml:space="preserve">Đặc tả chức năng (Function) đặt hàng gồm giỏ hàng, giữ tồn, phí vận chuyển, khuyến mại, hủy đơn, đổi trả</t>
  </si>
  <si>
    <t xml:space="preserve">3.2.1, 4.2.1</t>
  </si>
  <si>
    <t xml:space="preserve">3.2.3</t>
  </si>
  <si>
    <t xml:space="preserve">Quy trình vận hành mới (New Operational Flow) của kênh bán hàng trực tuyến</t>
  </si>
  <si>
    <t xml:space="preserve">3.2.4</t>
  </si>
  <si>
    <t xml:space="preserve">Thiết kế giao diện ưu tiên giỏ hàng, đặt hàng và theo dõi đơn hàng</t>
  </si>
  <si>
    <t xml:space="preserve">2.2.3, 3.2.2</t>
  </si>
  <si>
    <t xml:space="preserve">Xác nhận đặc tả yêu cầu và giao diện ưu tiên của hai bên</t>
  </si>
  <si>
    <t xml:space="preserve">1.2.1, 2.2.1, 3.2.2, 2.2.2, 3.2.3, 4.2.2, 4.2.3, 4.2.4, 1.2.2, 1.2.3, 2.2.4, 3.2.4</t>
  </si>
  <si>
    <t xml:space="preserve">Chủ đầu tư phê duyệt 5 ngày, sau cam kết CK5</t>
  </si>
  <si>
    <t xml:space="preserve">3.2.6</t>
  </si>
  <si>
    <t xml:space="preserve">Đặc tả use case giỏ hàng và giữ tồn kho khi đặt hàng</t>
  </si>
  <si>
    <t xml:space="preserve">3.2.7</t>
  </si>
  <si>
    <t xml:space="preserve">Đặc tả use case đặt hàng, phí vận chuyển, mã giảm giá và xác nhận đơn</t>
  </si>
  <si>
    <t xml:space="preserve">3.2.8</t>
  </si>
  <si>
    <t xml:space="preserve">Đặc tả use case theo dõi đơn hàng, hủy đơn, đổi trả và hoàn tiền</t>
  </si>
  <si>
    <t xml:space="preserve">3.2.9</t>
  </si>
  <si>
    <t xml:space="preserve">Thiết kế chi tiết giỏ hàng và giữ tồn kho</t>
  </si>
  <si>
    <t xml:space="preserve">Đỗ Minh Quân, Trương Quốc Việt</t>
  </si>
  <si>
    <t xml:space="preserve">3.2.2, 4.2.3, 3.2.6</t>
  </si>
  <si>
    <t xml:space="preserve">3.2.10</t>
  </si>
  <si>
    <t xml:space="preserve">Thiết kế chi tiết đặt hàng, phí vận chuyển và khuyến mại</t>
  </si>
  <si>
    <t xml:space="preserve">3.2.2, 4.2.3, 3.2.7</t>
  </si>
  <si>
    <t xml:space="preserve">3.2.11</t>
  </si>
  <si>
    <t xml:space="preserve">Thiết kế chi tiết trạng thái đơn hàng, hủy đơn và đổi trả</t>
  </si>
  <si>
    <t xml:space="preserve">3.2.2, 4.2.3, 3.2.8</t>
  </si>
  <si>
    <t xml:space="preserve">3.2.12</t>
  </si>
  <si>
    <t xml:space="preserve">Cập nhật đặc tả hệ thống và cấu trúc cơ sở dữ liệu theo phiên bản bàn giao</t>
  </si>
  <si>
    <t xml:space="preserve">3.3</t>
  </si>
  <si>
    <t xml:space="preserve">Xây dựng phân hệ quản lý đơn hàng (lập trình và kiểm thử đơn vị)</t>
  </si>
  <si>
    <t xml:space="preserve">S2-S5</t>
  </si>
  <si>
    <t xml:space="preserve">3.3.1</t>
  </si>
  <si>
    <t xml:space="preserve">Dịch vụ giỏ hàng</t>
  </si>
  <si>
    <t xml:space="preserve">3.2.9, 4.3.2</t>
  </si>
  <si>
    <t xml:space="preserve">3.3.2</t>
  </si>
  <si>
    <t xml:space="preserve">Dịch vụ giữ tồn kho tạm thời khi đặt hàng và giải phóng tồn</t>
  </si>
  <si>
    <t xml:space="preserve">3.3.3</t>
  </si>
  <si>
    <t xml:space="preserve">Dịch vụ tính phí vận chuyển</t>
  </si>
  <si>
    <t xml:space="preserve">3.2.10, 4.3.2</t>
  </si>
  <si>
    <t xml:space="preserve">3.3.4</t>
  </si>
  <si>
    <t xml:space="preserve">Dịch vụ khuyến mại và mã giảm giá</t>
  </si>
  <si>
    <t xml:space="preserve">3.3.5</t>
  </si>
  <si>
    <t xml:space="preserve">Dịch vụ đặt hàng, xác nhận đơn và thư điện tử xác nhận</t>
  </si>
  <si>
    <t xml:space="preserve">Bùi Anh Tuấn, Vũ Đức Minh</t>
  </si>
  <si>
    <t xml:space="preserve">3.2.10, 4.3.2, 4.3.4</t>
  </si>
  <si>
    <t xml:space="preserve">3.3.6</t>
  </si>
  <si>
    <t xml:space="preserve">Dịch vụ lịch sử, trạng thái đơn hàng và hủy đơn</t>
  </si>
  <si>
    <t xml:space="preserve">3.2.11, 4.3.2</t>
  </si>
  <si>
    <t xml:space="preserve">3.3.7</t>
  </si>
  <si>
    <t xml:space="preserve">Dịch vụ yêu cầu đổi trả và hoàn tiền</t>
  </si>
  <si>
    <t xml:space="preserve">3.3.8</t>
  </si>
  <si>
    <t xml:space="preserve">Giao diện giỏ hàng</t>
  </si>
  <si>
    <t xml:space="preserve">3.2.9, 1.2.4</t>
  </si>
  <si>
    <t xml:space="preserve">3.3.9</t>
  </si>
  <si>
    <t xml:space="preserve">Giao diện đặt hàng gồm địa chỉ, phí vận chuyển, mã giảm giá và xác nhận</t>
  </si>
  <si>
    <t xml:space="preserve">3.2.10, 1.2.4</t>
  </si>
  <si>
    <t xml:space="preserve">3.3.10</t>
  </si>
  <si>
    <t xml:space="preserve">Giao diện theo dõi đơn hàng, hủy đơn và đổi trả</t>
  </si>
  <si>
    <t xml:space="preserve">3.2.11, 1.2.4</t>
  </si>
  <si>
    <t xml:space="preserve">3.3.11</t>
  </si>
  <si>
    <t xml:space="preserve">Rà soát mã nguồn và kiến trúc giai đoạn lập trình phân hệ</t>
  </si>
  <si>
    <t xml:space="preserve">1.3.2, 2.3.2, 3.3.5</t>
  </si>
  <si>
    <t xml:space="preserve">3.4</t>
  </si>
  <si>
    <t xml:space="preserve">Kiểm thử phân hệ quản lý đơn hàng, gồm phần kiểm thử hệ thống và kiểm thử chấp nhận phân bổ</t>
  </si>
  <si>
    <t xml:space="preserve">3.4.1</t>
  </si>
  <si>
    <t xml:space="preserve">Kịch bản kiểm thử và bộ kiểm thử tự động phân hệ quản lý đơn hàng</t>
  </si>
  <si>
    <t xml:space="preserve">3.2.6, 3.2.7, 3.2.8</t>
  </si>
  <si>
    <t xml:space="preserve">3.4.2</t>
  </si>
  <si>
    <t xml:space="preserve">Kiểm thử giỏ hàng và giữ tồn kho</t>
  </si>
  <si>
    <t xml:space="preserve">3.4.1, 3.3.1, 3.3.2, 3.3.8</t>
  </si>
  <si>
    <t xml:space="preserve">3.4.3</t>
  </si>
  <si>
    <t xml:space="preserve">Kiểm thử đặt hàng, phí vận chuyển và khuyến mại</t>
  </si>
  <si>
    <t xml:space="preserve">3.4.1, 3.3.3, 3.3.4, 3.3.5, 3.3.9</t>
  </si>
  <si>
    <t xml:space="preserve">3.4.4</t>
  </si>
  <si>
    <t xml:space="preserve">Kiểm thử theo dõi đơn hàng, hủy đơn và đổi trả</t>
  </si>
  <si>
    <t xml:space="preserve">S4-S6</t>
  </si>
  <si>
    <t xml:space="preserve">3.4.1, 3.3.6, 3.3.7, 3.3.10</t>
  </si>
  <si>
    <t xml:space="preserve">3.4.5</t>
  </si>
  <si>
    <t xml:space="preserve">Sửa lỗi và kiểm thử lại giỏ hàng và giữ tồn kho</t>
  </si>
  <si>
    <t xml:space="preserve">3.4.6</t>
  </si>
  <si>
    <t xml:space="preserve">Kiểm thử luồng đặt hàng đầu cuối của phân hệ với dữ liệu biên và đồng thời</t>
  </si>
  <si>
    <t xml:space="preserve">3.4.1, 3.3.2, 3.3.5, 3.3.6, 3.3.9</t>
  </si>
  <si>
    <t xml:space="preserve">3.4.7</t>
  </si>
  <si>
    <t xml:space="preserve">Sửa lỗi và kiểm thử lại đặt hàng, phí vận chuyển và khuyến mại</t>
  </si>
  <si>
    <t xml:space="preserve">3.4.3, 3.4.6</t>
  </si>
  <si>
    <t xml:space="preserve">3.4.8</t>
  </si>
  <si>
    <t xml:space="preserve">Sửa lỗi và kiểm thử lại theo dõi đơn hàng, hủy đơn và đổi trả</t>
  </si>
  <si>
    <t xml:space="preserve">3.4.9</t>
  </si>
  <si>
    <t xml:space="preserve">Tài liệu chức năng và nghiệm thu nội bộ phân hệ quản lý đơn hàng</t>
  </si>
  <si>
    <t xml:space="preserve">3.4.5, 3.4.7, 3.4.8</t>
  </si>
  <si>
    <t xml:space="preserve">3.4.10</t>
  </si>
  <si>
    <t xml:space="preserve">Kịch bản kiểm thử hệ thống đầu cuối</t>
  </si>
  <si>
    <t xml:space="preserve">2.4.8, 1.2.1, 2.2.1, 3.2.2</t>
  </si>
  <si>
    <t xml:space="preserve">3.4.11</t>
  </si>
  <si>
    <t xml:space="preserve">Kịch bản kiểm thử chấp nhận theo quy trình vận hành mới</t>
  </si>
  <si>
    <t xml:space="preserve">2.4.8, 3.2.3</t>
  </si>
  <si>
    <t xml:space="preserve">3.4.12</t>
  </si>
  <si>
    <t xml:space="preserve">Kiểm thử chức năng đầu cuối</t>
  </si>
  <si>
    <t xml:space="preserve">Nguyễn Thị Phương Liên, Trần Thu Hà</t>
  </si>
  <si>
    <t xml:space="preserve">3.4.10, 1.4.2, 1.4.3, 2.4.2, 2.4.3, 3.4.2, 3.4.3, 3.4.4, 3.4.6, 4.4.3</t>
  </si>
  <si>
    <t xml:space="preserve">3.4.13</t>
  </si>
  <si>
    <t xml:space="preserve">Tổ chức và hỗ trợ kiểm thử vận hành cùng Chủ đầu tư luồng đặt hàng và giao nhận</t>
  </si>
  <si>
    <t xml:space="preserve">3.4.14</t>
  </si>
  <si>
    <t xml:space="preserve">Khắc phục lỗi và điều chỉnh theo kết quả kiểm thử chấp nhận phân hệ quản lý đơn hàng</t>
  </si>
  <si>
    <t xml:space="preserve">3.5</t>
  </si>
  <si>
    <t xml:space="preserve">Triển khai và chuyển giao, phần phân bổ cho phân hệ quản lý đơn hàng</t>
  </si>
  <si>
    <t xml:space="preserve">3.5.1</t>
  </si>
  <si>
    <t xml:space="preserve">Hướng dẫn vận hành cho cán bộ Chủ đầu tư theo quy trình vận hành mới, ba buổi theo lịch của Chủ đầu tư</t>
  </si>
  <si>
    <t xml:space="preserve">2.5.1, 3.2.3</t>
  </si>
  <si>
    <t xml:space="preserve">Thời lượng tối thiểu 3 ngày</t>
  </si>
  <si>
    <t xml:space="preserve">3.5.2</t>
  </si>
  <si>
    <t xml:space="preserve">Kế hoạch cut over, danh sách kiểm tra và phương án khôi phục</t>
  </si>
  <si>
    <t xml:space="preserve">4.5.1</t>
  </si>
  <si>
    <t xml:space="preserve">3.5.3</t>
  </si>
  <si>
    <t xml:space="preserve">Diễn tập triển khai phiên bản chính thức và chuyển đổi dữ liệu trên môi trường vận hành</t>
  </si>
  <si>
    <t xml:space="preserve">3.5.2, 4.5.2, 4.5.3</t>
  </si>
  <si>
    <t xml:space="preserve">3.5.4</t>
  </si>
  <si>
    <t xml:space="preserve">Hỗ trợ ngày đưa hệ thống vào vận hành và biên bản bàn giao hệ thống</t>
  </si>
  <si>
    <t xml:space="preserve">Bùi Anh Tuấn, Ninh Đức Toàn</t>
  </si>
  <si>
    <t xml:space="preserve">Không sớm hơn 29/07/2027</t>
  </si>
  <si>
    <t xml:space="preserve">4</t>
  </si>
  <si>
    <t xml:space="preserve">Phân hệ tích hợp hệ thống</t>
  </si>
  <si>
    <t xml:space="preserve">Suốt dự án, S1-S9</t>
  </si>
  <si>
    <t xml:space="preserve">4.1</t>
  </si>
  <si>
    <t xml:space="preserve">Quản lý dự án, phần phân bổ cho phân hệ tích hợp hệ thống</t>
  </si>
  <si>
    <t xml:space="preserve">4.1.1</t>
  </si>
  <si>
    <t xml:space="preserve">Họp tiến độ hằng tuần, trình diễn và báo cáo cuối sprint, phần phân hệ tích hợp hệ thống</t>
  </si>
  <si>
    <t xml:space="preserve">4.1.2</t>
  </si>
  <si>
    <t xml:space="preserve">Quản lý rủi ro, vấn đề và yêu cầu thay đổi đặc tả, phần phân hệ tích hợp hệ thống</t>
  </si>
  <si>
    <t xml:space="preserve">4.1.3</t>
  </si>
  <si>
    <t xml:space="preserve">Quản lý cấu hình, phiên bản tài liệu, hồ sơ dự án, hồ sơ nghiệm thu và thanh toán, phần phân hệ tích hợp hệ thống</t>
  </si>
  <si>
    <t xml:space="preserve">4.2</t>
  </si>
  <si>
    <t xml:space="preserve">Phân tích và thiết kế phân hệ tích hợp hệ thống</t>
  </si>
  <si>
    <t xml:space="preserve">Khảo sát hệ thống hiện có, Main System và luồng dữ liệu liên quan</t>
  </si>
  <si>
    <t xml:space="preserve">4.2.2</t>
  </si>
  <si>
    <t xml:space="preserve">Kiến trúc hệ thống, hạ tầng và phương án bảo đảm hoạt động liên tục</t>
  </si>
  <si>
    <t xml:space="preserve">4.2.3</t>
  </si>
  <si>
    <t xml:space="preserve">Cấu trúc cơ sở dữ liệu (Database Structure) của Selling DB</t>
  </si>
  <si>
    <t xml:space="preserve">1.2.1, 2.2.1, 3.2.2, 4.2.2</t>
  </si>
  <si>
    <t xml:space="preserve">4.2.4</t>
  </si>
  <si>
    <t xml:space="preserve">Cấu hình cơ sở dữ liệu (DB Configuration) gồm dự phòng, sao lưu và phân quyền truy cập</t>
  </si>
  <si>
    <t xml:space="preserve">4.2.5</t>
  </si>
  <si>
    <t xml:space="preserve">Đặc tả giao diện trao đổi dữ liệu với Main System</t>
  </si>
  <si>
    <t xml:space="preserve">Sau cam kết CK1 hạn 14/04/2027</t>
  </si>
  <si>
    <t xml:space="preserve">4.2.6</t>
  </si>
  <si>
    <t xml:space="preserve">Xác nhận đặc tả giao diện tích hợp với Main System của Chủ đầu tư</t>
  </si>
  <si>
    <t xml:space="preserve">4.2.7</t>
  </si>
  <si>
    <t xml:space="preserve">Thiết kế tích hợp gồm ánh xạ dữ liệu, xử lý lỗi và gửi lại</t>
  </si>
  <si>
    <t xml:space="preserve">4.2.5, 4.2.3</t>
  </si>
  <si>
    <t xml:space="preserve">4.3</t>
  </si>
  <si>
    <t xml:space="preserve">Xây dựng phân hệ tích hợp hệ thống (lập trình và kiểm thử đơn vị)</t>
  </si>
  <si>
    <t xml:space="preserve">S1-S5</t>
  </si>
  <si>
    <t xml:space="preserve">4.3.1</t>
  </si>
  <si>
    <t xml:space="preserve">Khung ứng dụng phía máy chủ và thành phần dùng chung về xác thực, phân quyền, ghi nhật ký, xử lý lỗi</t>
  </si>
  <si>
    <t xml:space="preserve">Phạm Tuấn Anh, Lê Quang Huy</t>
  </si>
  <si>
    <t xml:space="preserve">4.3.2</t>
  </si>
  <si>
    <t xml:space="preserve">Tạo lập Selling DB theo cấu trúc đã thiết kế và tầng truy cập dữ liệu</t>
  </si>
  <si>
    <t xml:space="preserve">Bùi Anh Tuấn, Đỗ Minh Quân</t>
  </si>
  <si>
    <t xml:space="preserve">4.2.3, 4.3.1, 1.5.1</t>
  </si>
  <si>
    <t xml:space="preserve">4.3.3</t>
  </si>
  <si>
    <t xml:space="preserve">Khung ứng dụng giao diện gồm định tuyến, quản lý trạng thái và gọi dịch vụ</t>
  </si>
  <si>
    <t xml:space="preserve">4.3.4</t>
  </si>
  <si>
    <t xml:space="preserve">Dịch vụ gửi thư điện tử qua máy chủ thư của Chủ đầu tư</t>
  </si>
  <si>
    <t xml:space="preserve">4.3.5</t>
  </si>
  <si>
    <t xml:space="preserve">Đồng bộ danh mục sản phẩm và giá từ Main System</t>
  </si>
  <si>
    <t xml:space="preserve">Phạm Tuấn Anh, Vũ Đức Minh</t>
  </si>
  <si>
    <t xml:space="preserve">4.2.7, 4.3.2, 4.4.1</t>
  </si>
  <si>
    <t xml:space="preserve">4.3.6</t>
  </si>
  <si>
    <t xml:space="preserve">Đồng bộ tồn kho từ Main System</t>
  </si>
  <si>
    <t xml:space="preserve">4.3.7</t>
  </si>
  <si>
    <t xml:space="preserve">Chuyển đơn hàng sang Main System và nhận trạng thái xử lý</t>
  </si>
  <si>
    <t xml:space="preserve">4.3.8</t>
  </si>
  <si>
    <t xml:space="preserve">Nhận trạng thái vận chuyển từ Main System</t>
  </si>
  <si>
    <t xml:space="preserve">4.3.9</t>
  </si>
  <si>
    <t xml:space="preserve">Giám sát tích hợp, cảnh báo lỗi đồng bộ và gửi lại</t>
  </si>
  <si>
    <t xml:space="preserve">4.3.10</t>
  </si>
  <si>
    <t xml:space="preserve">Công cụ chuyển đổi dữ liệu sản phẩm, tồn kho và kiểm tra toàn vẹn</t>
  </si>
  <si>
    <t xml:space="preserve">4.4</t>
  </si>
  <si>
    <t xml:space="preserve">Kiểm thử phân hệ tích hợp hệ thống, gồm phần kiểm thử hệ thống và kiểm thử chấp nhận phân bổ</t>
  </si>
  <si>
    <t xml:space="preserve">4.4.1</t>
  </si>
  <si>
    <t xml:space="preserve">Dịch vụ giả lập Main System và dữ liệu kiểm thử tích hợp</t>
  </si>
  <si>
    <t xml:space="preserve">4.4.2</t>
  </si>
  <si>
    <t xml:space="preserve">Kịch bản kiểm thử tích hợp với Main System</t>
  </si>
  <si>
    <t xml:space="preserve">4.4.3</t>
  </si>
  <si>
    <t xml:space="preserve">Kiểm thử tích hợp với Main System trên môi trường thử</t>
  </si>
  <si>
    <t xml:space="preserve">4.4.2, 4.2.6, 4.3.5, 4.3.6, 4.3.7, 4.3.8, 4.3.9, 4.4.1</t>
  </si>
  <si>
    <t xml:space="preserve">Sau cam kết CK2 hạn 20/05/2027, sau cam kết CK8 hạn 20/05/2027</t>
  </si>
  <si>
    <t xml:space="preserve">4.4.4</t>
  </si>
  <si>
    <t xml:space="preserve">Sửa lỗi và kiểm thử lại tích hợp với Main System</t>
  </si>
  <si>
    <t xml:space="preserve">Khắc phục lỗi sau kiểm thử hệ thống</t>
  </si>
  <si>
    <t xml:space="preserve">Vũ Đức Minh, Đỗ Minh Quân, Lê Quang Huy</t>
  </si>
  <si>
    <t xml:space="preserve">3.4.12, 2.4.9, 1.4.9, 2.4.10, 1.4.4, 1.4.6, 2.4.4, 2.4.6, 3.4.5, 3.4.7, 3.4.8, 4.4.4</t>
  </si>
  <si>
    <t xml:space="preserve">4.4.6</t>
  </si>
  <si>
    <t xml:space="preserve">Kiểm tra chức năng chính và tích hợp với Main System của Chủ đầu tư</t>
  </si>
  <si>
    <t xml:space="preserve">Nguyễn Hoàng Nam, Nguyễn Thị Phương Liên</t>
  </si>
  <si>
    <t xml:space="preserve">1.4.4, 1.4.6, 2.4.4, 2.4.6, 3.4.5, 3.4.7, 3.4.8, 4.4.4</t>
  </si>
  <si>
    <t xml:space="preserve">Kiểm thử hiệu năng và rà soát an toàn thông tin bản phát hành trên môi trường vận hành</t>
  </si>
  <si>
    <t xml:space="preserve">4.4.5, 4.5.2</t>
  </si>
  <si>
    <t xml:space="preserve">4.4.8</t>
  </si>
  <si>
    <t xml:space="preserve">Diễn tập chuyển đổi dự phòng, sao lưu và khôi phục trên môi trường vận hành</t>
  </si>
  <si>
    <t xml:space="preserve">4.4.9</t>
  </si>
  <si>
    <t xml:space="preserve">Khắc phục lỗi và điều chỉnh theo kết quả kiểm thử chấp nhận tích hợp với Main System</t>
  </si>
  <si>
    <t xml:space="preserve">4.5</t>
  </si>
  <si>
    <t xml:space="preserve">Triển khai và chuyển giao, phần phân bổ cho phân hệ tích hợp hệ thống</t>
  </si>
  <si>
    <t xml:space="preserve">S4-S8</t>
  </si>
  <si>
    <t xml:space="preserve">Môi trường vận hành gồm hai nút ứng dụng, cân bằng tải, cơ sở dữ liệu chính và dự phòng</t>
  </si>
  <si>
    <t xml:space="preserve">4.2.2, 4.2.4, 1.5.1</t>
  </si>
  <si>
    <t xml:space="preserve">Sau cam kết CK7 hạn 20/05/2027</t>
  </si>
  <si>
    <t xml:space="preserve">Giám sát, cảnh báo và sao lưu tự động trên môi trường vận hành</t>
  </si>
  <si>
    <t xml:space="preserve">4.5.3</t>
  </si>
  <si>
    <t xml:space="preserve">Chuyển đổi thử dữ liệu sản phẩm, tồn kho do Chủ đầu tư cung cấp</t>
  </si>
  <si>
    <t xml:space="preserve">Sau cam kết CK3 hạn 10/06/2027</t>
  </si>
  <si>
    <t xml:space="preserve">4.5.4</t>
  </si>
  <si>
    <t xml:space="preserve">Nạp hình ảnh và nội dung sản phẩm theo bộ nhận diện của Chủ đầu tư lên môi trường vận hành</t>
  </si>
  <si>
    <t xml:space="preserve">4.3.2, 4.5.2</t>
  </si>
  <si>
    <t xml:space="preserve">Sau cam kết CK4 hạn 10/06/2027</t>
  </si>
  <si>
    <t xml:space="preserve">4.5.5</t>
  </si>
  <si>
    <t xml:space="preserve">Rà soát giấy phép thư viện mã nguồn mở và quyền sở hữu sản phẩm</t>
  </si>
  <si>
    <t xml:space="preserve">4.5.6</t>
  </si>
  <si>
    <t xml:space="preserve">Giám sát vận hành và chuẩn bị hỗ trợ tăng cường sau cut over</t>
  </si>
  <si>
    <t xml:space="preserve">4.5.2, 4.4.5</t>
  </si>
  <si>
    <t xml:space="preserve">5</t>
  </si>
  <si>
    <t xml:space="preserve">Bán hàng trên sàn thương mại điện tử</t>
  </si>
  <si>
    <t xml:space="preserve">Suốt dự án, S5-S9</t>
  </si>
  <si>
    <t xml:space="preserve">5.1</t>
  </si>
  <si>
    <t xml:space="preserve">Quản lý dự án, phần bán hàng trên sàn thương mại điện tử</t>
  </si>
  <si>
    <t xml:space="preserve">5.1.1</t>
  </si>
  <si>
    <t xml:space="preserve">Quản lý yêu cầu thay đổi, phụ lục hợp đồng, theo dõi tiến độ và hồ sơ nghiệm thu phần bán hàng trên sàn thương mại điện tử</t>
  </si>
  <si>
    <t xml:space="preserve">5.2</t>
  </si>
  <si>
    <t xml:space="preserve">Phân tích và thiết kế bán hàng trên sàn thương mại điện tử</t>
  </si>
  <si>
    <t xml:space="preserve">5.2.1</t>
  </si>
  <si>
    <t xml:space="preserve">Khảo sát quy trình bán hàng trên sàn thương mại điện tử và giao diện lập trình của sàn</t>
  </si>
  <si>
    <t xml:space="preserve">Sau cam kết CK9 hạn 01/06/2027</t>
  </si>
  <si>
    <t xml:space="preserve">5.2.2</t>
  </si>
  <si>
    <t xml:space="preserve">Đặc tả chức năng và use case đồng bộ sản phẩm, tồn kho, giá, nhận đơn, cập nhật trạng thái và đối soát với sàn</t>
  </si>
  <si>
    <t xml:space="preserve">5.2.3</t>
  </si>
  <si>
    <t xml:space="preserve">Thiết kế tích hợp với sàn gồm xác thực, ánh xạ dữ liệu, xử lý lỗi và gửi lại</t>
  </si>
  <si>
    <t xml:space="preserve">5.2.1, 4.2.7</t>
  </si>
  <si>
    <t xml:space="preserve">5.2.4</t>
  </si>
  <si>
    <t xml:space="preserve">Xác nhận đặc tả bán hàng trên sàn thương mại điện tử của Chủ đầu tư</t>
  </si>
  <si>
    <t xml:space="preserve">5.2.2, 5.2.3</t>
  </si>
  <si>
    <t xml:space="preserve">Thời lượng tối thiểu 3 ngày, Chủ đầu tư phê duyệt 5 ngày, sau cam kết CK9 hạn 01/06/2027</t>
  </si>
  <si>
    <t xml:space="preserve">5.3</t>
  </si>
  <si>
    <t xml:space="preserve">Xây dựng chức năng bán hàng trên sàn thương mại điện tử (lập trình và kiểm thử đơn vị)</t>
  </si>
  <si>
    <t xml:space="preserve">5.3.1</t>
  </si>
  <si>
    <t xml:space="preserve">Kết nối sàn gồm xác thực, cấu hình cửa hàng và quản lý khóa truy cập</t>
  </si>
  <si>
    <t xml:space="preserve">Lê Quang Huy, Đỗ Minh Quân</t>
  </si>
  <si>
    <t xml:space="preserve">Sau cam kết CK9 hạn 01/06/2027, sau cam kết CK10 hạn 10/06/2027</t>
  </si>
  <si>
    <t xml:space="preserve">5.3.2</t>
  </si>
  <si>
    <t xml:space="preserve">Đồng bộ sản phẩm và giá lên sàn</t>
  </si>
  <si>
    <t xml:space="preserve">5.3.1, 4.3.5</t>
  </si>
  <si>
    <t xml:space="preserve">5.3.3</t>
  </si>
  <si>
    <t xml:space="preserve">Đồng bộ tồn kho lên sàn</t>
  </si>
  <si>
    <t xml:space="preserve">5.3.1, 4.3.6</t>
  </si>
  <si>
    <t xml:space="preserve">5.3.4</t>
  </si>
  <si>
    <t xml:space="preserve">Nhận đơn hàng từ sàn vào luồng xử lý đơn hàng</t>
  </si>
  <si>
    <t xml:space="preserve">Bùi Anh Tuấn, Lê Quang Huy</t>
  </si>
  <si>
    <t xml:space="preserve">5.3.1, 3.3.5</t>
  </si>
  <si>
    <t xml:space="preserve">5.3.5</t>
  </si>
  <si>
    <t xml:space="preserve">Cập nhật trạng thái đơn hàng và vận chuyển lên sàn</t>
  </si>
  <si>
    <t xml:space="preserve">5.3.4, 4.3.8</t>
  </si>
  <si>
    <t xml:space="preserve">5.3.6</t>
  </si>
  <si>
    <t xml:space="preserve">Đối soát đơn hàng và thanh toán với sàn</t>
  </si>
  <si>
    <t xml:space="preserve">5.3.7</t>
  </si>
  <si>
    <t xml:space="preserve">Giao diện quản trị kênh sàn gồm ánh xạ sản phẩm, theo dõi đồng bộ và kết quả đối soát</t>
  </si>
  <si>
    <t xml:space="preserve">5.2.2, 1.2.4</t>
  </si>
  <si>
    <t xml:space="preserve">5.4</t>
  </si>
  <si>
    <t xml:space="preserve">Kiểm thử bán hàng trên sàn thương mại điện tử</t>
  </si>
  <si>
    <t xml:space="preserve">5.4.1</t>
  </si>
  <si>
    <t xml:space="preserve">Kịch bản kiểm thử bán hàng trên sàn thương mại điện tử</t>
  </si>
  <si>
    <t xml:space="preserve">5.4.2</t>
  </si>
  <si>
    <t xml:space="preserve">Kiểm thử tích hợp với môi trường thử của sàn</t>
  </si>
  <si>
    <t xml:space="preserve">Phạm Ngọc Anh, Trần Thu Hà</t>
  </si>
  <si>
    <t xml:space="preserve">5.4.1, 5.3.2, 5.3.3, 5.3.5, 5.3.6</t>
  </si>
  <si>
    <t xml:space="preserve">5.4.3</t>
  </si>
  <si>
    <t xml:space="preserve">Kiểm thử hệ thống luồng bán hàng trên sàn gồm đồng bộ, nhận đơn, trạng thái và đối soát</t>
  </si>
  <si>
    <t xml:space="preserve">Trần Thu Hà, Phạm Ngọc Anh</t>
  </si>
  <si>
    <t xml:space="preserve">5.4.2, 5.3.7, 5.2.4</t>
  </si>
  <si>
    <t xml:space="preserve">5.4.4</t>
  </si>
  <si>
    <t xml:space="preserve">Khắc phục lỗi và kiểm thử lại sau kiểm thử bán hàng trên sàn</t>
  </si>
  <si>
    <t xml:space="preserve">Trương Quốc Việt, Bùi Anh Tuấn</t>
  </si>
  <si>
    <t xml:space="preserve">5.4.5</t>
  </si>
  <si>
    <t xml:space="preserve">Tổ chức và hỗ trợ kiểm thử chấp nhận bán hàng trên sàn cùng Chủ đầu tư</t>
  </si>
  <si>
    <t xml:space="preserve">Trần Thu Hà, Bùi Anh Tuấn</t>
  </si>
  <si>
    <t xml:space="preserve">5.4.4, 5.5.2</t>
  </si>
  <si>
    <t xml:space="preserve">Thời lượng tối thiểu 3 ngày, kiểm thử chấp nhận 16/07/2027 - 27/07/2027, trong khoảng cam kết CK9 16/07/2027 - 27/07/2027</t>
  </si>
  <si>
    <t xml:space="preserve">5.5</t>
  </si>
  <si>
    <t xml:space="preserve">Triển khai và hướng dẫn sử dụng bán hàng trên sàn thương mại điện tử</t>
  </si>
  <si>
    <t xml:space="preserve">5.5.1</t>
  </si>
  <si>
    <t xml:space="preserve">Cấu hình kết nối sàn trên môi trường vận hành</t>
  </si>
  <si>
    <t xml:space="preserve">5.4.4, 4.5.1</t>
  </si>
  <si>
    <t xml:space="preserve">5.5.2</t>
  </si>
  <si>
    <t xml:space="preserve">Tài liệu và buổi hướng dẫn sử dụng bán hàng trên sàn cho cán bộ Chủ đầu tư</t>
  </si>
  <si>
    <t xml:space="preserve">5.2.4, 5.3.7</t>
  </si>
  <si>
    <t xml:space="preserve">5.5.3</t>
  </si>
  <si>
    <t xml:space="preserve">Bàn giao mã nguồn, tài liệu kỹ thuật và danh mục thư viện phần bán hàng trên sàn thương mại điện tử</t>
  </si>
  <si>
    <t xml:space="preserve">Thanh xám: mục cha. Thanh đỏ: gói trên đường găng theo phụ thuộc. Thanh xanh: gói khác. Mỗi cột là một tuần, ngày đầu tuần ở dòng 3. Gói quản lý dự án ghi giai đoạn (Khởi động, Suốt dự án, Kết thúc) thay cho sprint, gói Kết thúc nằm sau cut over.</t>
  </si>
  <si>
    <t xml:space="preserve">Từ ngày</t>
  </si>
  <si>
    <t xml:space="preserve">Đến ngày</t>
  </si>
  <si>
    <t xml:space="preserve">MD kế hoạch</t>
  </si>
  <si>
    <t xml:space="preserve">Tỷ lệ sử dụng</t>
  </si>
  <si>
    <t xml:space="preserve">Mục tiêu</t>
  </si>
  <si>
    <t xml:space="preserve">Sản phẩm trình diễn</t>
  </si>
  <si>
    <t xml:space="preserve">Khảo sát nghiệp vụ và hệ thống hiện có, đặc tả chức năng ba phân hệ chức năng, nghiên cứu hành vi người dùng, kiến trúc hệ thống, khung ứng dụng phía máy chủ và giao diện, dịch vụ gửi thư điện tử</t>
  </si>
  <si>
    <t xml:space="preserve">Báo cáo khảo sát, đặc tả chức năng ba phân hệ chức năng, kiến trúc hệ thống và khung ứng dụng phía máy chủ, giao diện</t>
  </si>
  <si>
    <t xml:space="preserve">Cấu trúc, cấu hình Selling DB và tạo lập Selling DB trên môi trường phát triển, sơ đồ phân cấp menu, thiết kế giao diện ưu tiên ba nhóm chức năng, thư viện thành phần giao diện, môi trường phát triển và kiểm thử có quy trình triển khai tự động, đặc tả use case đợt đầu của ba phân hệ chức năng, thiết kế chi tiết đặt hàng</t>
  </si>
  <si>
    <t xml:space="preserve">Selling DB trên môi trường phát triển, sơ đồ phân cấp menu (Menu Layer), mẫu giao diện ưu tiên ba nhóm chức năng, khung ứng dụng triển khai tự động lên môi trường phát triển</t>
  </si>
  <si>
    <t xml:space="preserve">Hai bên xác nhận đặc tả yêu cầu và giao diện ưu tiên (M2), đặc tả giao diện tích hợp sau khi nhận tài liệu Main System (CK1) và thiết kế tích hợp, hoàn thành đặc tả use case và thiết kế chi tiết, chỉ mục tìm kiếm, lập trình đăng ký, đăng nhập, khôi phục mật khẩu, giỏ hàng, đặt hàng có phí vận chuyển và mã giảm giá, kịch bản kiểm thử phân hệ và kịch bản kiểm thử tích hợp</t>
  </si>
  <si>
    <t xml:space="preserve">Đăng ký, đăng nhập, khôi phục mật khẩu, giỏ hàng và đặt hàng có phí vận chuyển, mã giảm giá trên môi trường phát triển</t>
  </si>
  <si>
    <t xml:space="preserve">Lập trình tìm kiếm, lọc và sắp xếp sản phẩm, giữ tồn kho, theo dõi đơn hàng, hủy đơn và đổi trả, dịch vụ giả lập Main System, đồng bộ tồn kho, chuyển đơn hàng và nhận trạng thái vận chuyển theo đặc tả giao diện tích hợp đã lập, Chủ đầu tư xác nhận đặc tả giao diện tích hợp, kế hoạch kiểm thử hệ thống, kiểm thử bảo mật tài khoản và kiểm thử đặt hàng, phí vận chuyển, khuyến mại</t>
  </si>
  <si>
    <t xml:space="preserve">Tìm kiếm, lọc và sắp xếp sản phẩm, theo dõi và hủy đơn hàng trên môi trường phát triển, chuyển đơn hàng và nhận trạng thái vận chuyển trên dịch vụ giả lập Main System</t>
  </si>
  <si>
    <t xml:space="preserve">Lập trình danh mục, chi tiết sản phẩm, trang chủ, bộ nhớ đệm, trang thành viên, sổ địa chỉ và đồng ý điều khoản, đồng bộ danh mục sản phẩm và giá, chuyển đơn hàng và nhận trạng thái vận chuyển, công cụ chuyển đổi dữ liệu, kiểm thử tích hợp trên môi trường thử của Main System (CK2, CK8), kiểm thử tìm kiếm, đăng ký, đăng nhập, thông tin thành viên, giỏ hàng và luồng đặt hàng, kế hoạch kiểm thử hệ thống, môi trường vận hành (CK7), khảo sát bán hàng trên sàn thương mại điện tử (CR01)</t>
  </si>
  <si>
    <t xml:space="preserve">Trang chủ, danh mục, chi tiết sản phẩm, trang thành viên và luồng đặt hàng có trao đổi dữ liệu với Main System trên môi trường thử</t>
  </si>
  <si>
    <t xml:space="preserve">Kiểm thử trang chủ, danh mục, chi tiết sản phẩm, tương thích trình duyệt và thiết bị, kiểm thử hiệu năng, kiểm thử theo dõi đơn hàng và đổi trả, kiểm thử khả năng sử dụng và rà soát lỗ hổng bảo mật, sửa lỗi tích hợp, kịch bản kiểm thử hệ thống đầu cuối, hướng dẫn vận hành, tài liệu hướng dẫn sử dụng, giám sát và sao lưu tự động, chuyển đổi thử dữ liệu (CK3), cùng với đặc tả, thiết kế tích hợp, kết nối sàn, đồng bộ tồn kho, nhận đơn hàng từ sàn và kịch bản kiểm thử bán hàng trên sàn (CR01)</t>
  </si>
  <si>
    <t xml:space="preserve">Bản phát hành đã sửa lỗi kiểm thử phân hệ, báo cáo kiểm thử hiệu năng, kết nối sàn và nhận đơn hàng từ sàn trên môi trường thử</t>
  </si>
  <si>
    <t xml:space="preserve">Kiểm thử chức năng đầu cuối, sửa lỗi và kiểm thử lại các phân hệ, kịch bản kiểm thử chấp nhận, kế hoạch cut over, diễn tập chuyển đổi dự phòng, nạp nội dung sản phẩm (CK4), cùng với xác nhận đặc tả bán hàng trên sàn, đồng bộ sản phẩm và giá, cập nhật trạng thái, đối soát, giao diện quản trị kênh sàn, tài liệu và buổi hướng dẫn sử dụng bán hàng trên sàn, kiểm thử tích hợp với sàn và bắt đầu kiểm thử hệ thống luồng bán hàng trên sàn (CR01)</t>
  </si>
  <si>
    <t xml:space="preserve">Báo cáo kiểm thử chức năng đầu cuối, luồng bán hàng trên sàn đầy đủ trên môi trường thử, tài liệu hướng dẫn sử dụng bán hàng trên sàn</t>
  </si>
  <si>
    <t xml:space="preserve">Khắc phục lỗi sau kiểm thử hệ thống (M4), Chủ đầu tư kiểm tra chức năng chính và tích hợp với Main System (M3), diễn tập triển khai, giám sát vận hành, cùng với hoàn thành kiểm thử hệ thống, khắc phục lỗi và kiểm thử lại phần bán hàng trên sàn, bàn giao mã nguồn phần sàn và cấu hình kết nối sàn trên môi trường vận hành (CR01)</t>
  </si>
  <si>
    <t xml:space="preserve">Bản phát hành sẵn sàng kiểm thử chấp nhận gồm phần bán hàng trên sàn, biên bản kiểm tra chức năng chính (M3), kết nối sàn trên môi trường vận hành</t>
  </si>
  <si>
    <t xml:space="preserve">Kiểm thử chấp nhận và kiểm thử vận hành cùng Chủ đầu tư (M5), kiểm thử chấp nhận phần bán hàng trên sàn cùng Chủ đầu tư và nghiệm thu phần sàn (M9), khắc phục lỗi trong khoảng kiểm thử chấp nhận, kiểm thử hiệu năng và an toàn trên môi trường vận hành, chuyển đổi dữ liệu chính thức, cut over 29/07/2027 (M6), bàn giao mã nguồn và hệ thống (M7)</t>
  </si>
  <si>
    <t xml:space="preserve">Hệ thống gồm phần bán hàng trên sàn trên môi trường vận hành, biên bản nghiệm thu phần bán hàng trên sàn (M9), biên bản kiểm thử chấp nhận và biên bản bàn giao</t>
  </si>
  <si>
    <t xml:space="preserve">KT</t>
  </si>
  <si>
    <t xml:space="preserve">Giai đoạn Kết thúc sau cut over, quỹ huy động theo tỷ lệ huy động giai đoạn Kết thúc của thành viên</t>
  </si>
  <si>
    <t xml:space="preserve">Tổng</t>
  </si>
  <si>
    <t xml:space="preserve">Mốc</t>
  </si>
  <si>
    <t xml:space="preserve">Nội dung</t>
  </si>
  <si>
    <t xml:space="preserve">Ngày dự kiến</t>
  </si>
  <si>
    <t xml:space="preserve">Hạn</t>
  </si>
  <si>
    <t xml:space="preserve">Trạng thái</t>
  </si>
  <si>
    <t xml:space="preserve">Căn cứ (gói hoàn thành)</t>
  </si>
  <si>
    <t xml:space="preserve">Đợt thanh toán</t>
  </si>
  <si>
    <t xml:space="preserve">M0</t>
  </si>
  <si>
    <t xml:space="preserve">Hợp đồng có hiệu lực, khởi động dự án</t>
  </si>
  <si>
    <t xml:space="preserve">Ngày cố định</t>
  </si>
  <si>
    <t xml:space="preserve">M1</t>
  </si>
  <si>
    <t xml:space="preserve">Kế hoạch quản lý dự án được Chủ đầu tư xác nhận</t>
  </si>
  <si>
    <t xml:space="preserve">M2</t>
  </si>
  <si>
    <t xml:space="preserve">Đặc tả yêu cầu và giao diện ưu tiên được hai bên xác nhận</t>
  </si>
  <si>
    <t xml:space="preserve">M3</t>
  </si>
  <si>
    <t xml:space="preserve">Chủ đầu tư kiểm tra đạt các chức năng chính và tích hợp với Main System</t>
  </si>
  <si>
    <t xml:space="preserve">M4</t>
  </si>
  <si>
    <t xml:space="preserve">Hoàn thành kiểm thử hệ thống, bản phát hành sẵn sàng kiểm thử chấp nhận</t>
  </si>
  <si>
    <t xml:space="preserve">1.4.9, 2.4.9, 2.4.10, 3.4.12, 4.4.5, 4.4.6</t>
  </si>
  <si>
    <t xml:space="preserve">M9</t>
  </si>
  <si>
    <t xml:space="preserve">Chủ đầu tư nghiệm thu phần bán hàng trên sàn thương mại điện tử theo yêu cầu thay đổi CR01</t>
  </si>
  <si>
    <t xml:space="preserve">5.4.5, 5.5.1</t>
  </si>
  <si>
    <t xml:space="preserve">M5</t>
  </si>
  <si>
    <t xml:space="preserve">Hoàn thành kiểm thử chấp nhận và kiểm thử vận hành cùng Chủ đầu tư</t>
  </si>
  <si>
    <t xml:space="preserve">1.4.11, 2.4.12, 3.4.13</t>
  </si>
  <si>
    <t xml:space="preserve">M6</t>
  </si>
  <si>
    <t xml:space="preserve">Hệ thống đưa vào vận hành (cut over) và được nghiệm thu</t>
  </si>
  <si>
    <t xml:space="preserve">M7</t>
  </si>
  <si>
    <t xml:space="preserve">Nhà thầu nộp bảo lãnh bảo hành, bàn giao mã nguồn và hệ thống</t>
  </si>
  <si>
    <t xml:space="preserve">1.5.3, 3.5.4</t>
  </si>
  <si>
    <t xml:space="preserve">M8</t>
  </si>
  <si>
    <t xml:space="preserve">Đóng dự án, báo cáo tổng kết và bài học kinh nghiệm được lập, hồ sơ dự án được lưu trữ</t>
  </si>
  <si>
    <t xml:space="preserve">Giai đoạn dự án</t>
  </si>
  <si>
    <t xml:space="preserve">Số gói</t>
  </si>
  <si>
    <t xml:space="preserve">Căn cứ</t>
  </si>
  <si>
    <t xml:space="preserve">Gói lá</t>
  </si>
  <si>
    <t xml:space="preserve">Quyết định của nhóm về giai đoạn Khởi động</t>
  </si>
  <si>
    <t xml:space="preserve">1.1.1, 2.1.1, 3.1.1, 3.1.2</t>
  </si>
  <si>
    <t xml:space="preserve">Gói quản lý dàn trải theo sprint</t>
  </si>
  <si>
    <t xml:space="preserve">1.1.2, 1.1.3, 1.1.4, 2.1.2, 2.1.3, 2.1.4, 3.1.3, 3.1.4, 3.1.5, 3.1.6, 4.1.1, 4.1.2, 4.1.3, 5.1.1</t>
  </si>
  <si>
    <t xml:space="preserve">S1, S2, S3, S4, S5, S6, S7, S8, S9</t>
  </si>
  <si>
    <t xml:space="preserve">154 gói theo sprint, xem Lich_trinh</t>
  </si>
  <si>
    <t xml:space="preserve">10 ngày làm việc sau cut over</t>
  </si>
  <si>
    <t xml:space="preserve">Ngày đóng dự án (hết giai đoạn Kết thúc): 12/08/2027. Gói quản lý dự án không gắn sprint phát triển, không nằm trong mục tiêu, sản phẩm trình diễn của sprint. Gói Kết thúc không tính vào dự trữ đến cut over.</t>
  </si>
  <si>
    <t xml:space="preserve">Mã thành viên</t>
  </si>
  <si>
    <t xml:space="preserve">Họ tên</t>
  </si>
  <si>
    <t xml:space="preserve">Tỷ lệ</t>
  </si>
  <si>
    <t xml:space="preserve">dat</t>
  </si>
  <si>
    <t xml:space="preserve">tuananh</t>
  </si>
  <si>
    <t xml:space="preserve">minh</t>
  </si>
  <si>
    <t xml:space="preserve">toan</t>
  </si>
  <si>
    <t xml:space="preserve">lien</t>
  </si>
  <si>
    <t xml:space="preserve">K</t>
  </si>
  <si>
    <t xml:space="preserve">D1</t>
  </si>
  <si>
    <t xml:space="preserve">D2</t>
  </si>
  <si>
    <t xml:space="preserve">D3</t>
  </si>
  <si>
    <t xml:space="preserve">Q1</t>
  </si>
  <si>
    <t xml:space="preserve">Q2</t>
  </si>
  <si>
    <t xml:space="preserve">D4</t>
  </si>
  <si>
    <t xml:space="preserve">Tải công việc theo thành viên và sprint, MD</t>
  </si>
  <si>
    <t xml:space="preserve">Mã</t>
  </si>
  <si>
    <t xml:space="preserve">Tổng MD</t>
  </si>
  <si>
    <t xml:space="preserve">Tổng quỹ</t>
  </si>
  <si>
    <t xml:space="preserve">Ô đỏ: vượt quỹ thời gian của sprint. Ô vàng: được huy động trong sprint nhưng dùng dưới 30% quỹ của sprint. Cột KT: MD giai đoạn Kết thúc sau cut over, quỹ theo tỷ lệ huy động giai đoạn Kết thúc của thành viên.</t>
  </si>
  <si>
    <t xml:space="preserve">Nhu cầu nhân lực theo loại công việc và sprint, MD</t>
  </si>
  <si>
    <t xml:space="preserve">BA</t>
  </si>
  <si>
    <t xml:space="preserve">DEV</t>
  </si>
  <si>
    <t xml:space="preserve">DEVOPS</t>
  </si>
  <si>
    <t xml:space="preserve">PM</t>
  </si>
  <si>
    <t xml:space="preserve">QA</t>
  </si>
  <si>
    <t xml:space="preserve">Quỹ huy động, MD</t>
  </si>
  <si>
    <t xml:space="preserve">MD từng loại công việc theo ngày thực hiện trong lịch đã xếp nguồn lực. So sánh với quỹ huy động để đề xuất tu_sprint, den_sprint của từng vị trí.</t>
  </si>
  <si>
    <t xml:space="preserve">Cam kết đầu vào của Chủ đầu tư</t>
  </si>
  <si>
    <t xml:space="preserve">Nội dung cam kết</t>
  </si>
  <si>
    <t xml:space="preserve">Hạn (cuối khoảng nếu là khoảng tham gia)</t>
  </si>
  <si>
    <t xml:space="preserve">Gói phụ thuộc</t>
  </si>
  <si>
    <t xml:space="preserve">Bắt đầu sớm nhất</t>
  </si>
  <si>
    <t xml:space="preserve">Đầu khoảng tham gia</t>
  </si>
  <si>
    <t xml:space="preserve">Kết thúc muộn nhất</t>
  </si>
  <si>
    <t xml:space="preserve">CK1</t>
  </si>
  <si>
    <t xml:space="preserve">Tài liệu đặc tả giao diện trao đổi dữ liệu của Main System</t>
  </si>
  <si>
    <t xml:space="preserve">CK2</t>
  </si>
  <si>
    <t xml:space="preserve">Môi trường thử của Main System</t>
  </si>
  <si>
    <t xml:space="preserve">CK3</t>
  </si>
  <si>
    <t xml:space="preserve">Dữ liệu sản phẩm, tồn kho phục vụ chuyển đổi theo định dạng thống nhất (nhà thầu đề nghị, HSMT không quy định thời hạn)</t>
  </si>
  <si>
    <t xml:space="preserve">CK4</t>
  </si>
  <si>
    <t xml:space="preserve">Bộ nhận diện thương hiệu, hình ảnh và nội dung sản phẩm (nhà thầu đề nghị, HSMT không quy định thời hạn)</t>
  </si>
  <si>
    <t xml:space="preserve">CK5</t>
  </si>
  <si>
    <t xml:space="preserve">Chủ sản phẩm có thẩm quyền quyết định yêu cầu nghiệp vụ, làm rõ yêu cầu 2-3 buổi mỗi tuần trong sprint 1-3, dự demo cuối mỗi sprint</t>
  </si>
  <si>
    <t xml:space="preserve">CK6</t>
  </si>
  <si>
    <t xml:space="preserve">Người dùng nghiệp vụ tham gia kiểm thử chấp nhận trong khoảng 16/07 đến 27/07/2027</t>
  </si>
  <si>
    <t xml:space="preserve">CK7</t>
  </si>
  <si>
    <t xml:space="preserve">Hạ tầng vận hành chính thức gồm máy chủ, đường truyền và phần mềm nền (nhà thầu đề nghị bàn giao sớm hơn thời hạn chậm nhất 10/06/2027 của HSMT)</t>
  </si>
  <si>
    <t xml:space="preserve">CK8</t>
  </si>
  <si>
    <t xml:space="preserve">Chủ đầu tư hoàn thành thay đổi phía Main System phục vụ trao đổi dữ liệu với hệ thống mới (phân định tại mục 3.5 Chương V của HSMT)</t>
  </si>
  <si>
    <t xml:space="preserve">CK9</t>
  </si>
  <si>
    <t xml:space="preserve">Phụ lục hợp đồng 01/2027/PL-ABCW điều chỉnh hợp đồng theo yêu cầu thay đổi CR01 có hiệu lực, bắt đầu phần thay đổi</t>
  </si>
  <si>
    <t xml:space="preserve">5.2.1, 5.2.2, 5.2.3, 5.2.4, 5.3.1, 5.3.2, 5.3.3, 5.3.4, 5.3.5, 5.3.6, 5.3.7, 5.4.1, 5.4.2, 5.4.3, 5.4.4, 5.4.5, 5.5.1, 5.5.2, 5.5.3</t>
  </si>
  <si>
    <t xml:space="preserve">CK10</t>
  </si>
  <si>
    <t xml:space="preserve">Tài khoản người bán, khóa truy cập và môi trường thử của sàn thương mại điện tử do Chủ đầu tư đăng ký với đơn vị vận hành sàn</t>
  </si>
  <si>
    <t xml:space="preserve">5.3.1, 5.4.2</t>
  </si>
  <si>
    <t xml:space="preserve">Gói có Chủ đầu tư tham gia</t>
  </si>
  <si>
    <t xml:space="preserve">Gói</t>
  </si>
  <si>
    <t xml:space="preserve">Loại tham gia</t>
  </si>
  <si>
    <t xml:space="preserve">Thời lượng tối thiểu, ngày</t>
  </si>
  <si>
    <t xml:space="preserve">Phê duyệt tài liệu</t>
  </si>
  <si>
    <t xml:space="preserve">Kiểm thử chấp nhận</t>
  </si>
  <si>
    <t xml:space="preserve">Hướng dẫn sử dụng master schedule</t>
  </si>
  <si>
    <t xml:space="preserve">Sheet Lich_trinh: lịch từng gói WBS, thanh Gantt theo tuần. Mục cha tính bằng công thức từ mục con.</t>
  </si>
  <si>
    <t xml:space="preserve">Sheet Sprint: mục tiêu, sản phẩm trình diễn, MD kế hoạch và quỹ thời gian từng sprint.</t>
  </si>
  <si>
    <t xml:space="preserve">Sheet Moc: các mốc, ngày dự kiến, hạn, trạng thái, liên kết đợt thanh toán.</t>
  </si>
  <si>
    <t xml:space="preserve">Sheet Giai_doan: giai đoạn Khởi động, Thực hiện (các sprint), Kết thúc (sau cut over) và gói quản lý dự án dàn trải suốt dự án.</t>
  </si>
  <si>
    <t xml:space="preserve">Sheet Phan_bo và Tai_nguon: MD kế hoạch theo thành viên và sprint, ô đỏ là quá tải, ô vàng là dùng dưới ngưỡng quỹ của sprint huy động.</t>
  </si>
  <si>
    <t xml:space="preserve">Sheet Nhu_cau: MD theo loại công việc và sprint so với quỹ huy động, dùng để đề xuất thời gian huy động từng vị trí.</t>
  </si>
  <si>
    <t xml:space="preserve">Sheet Cam_ket: hạn đầu vào của Chủ đầu tư và gói phụ thuộc, gói có Chủ đầu tư tham gia (phê duyệt tài liệu, kiểm thử chấp nhận) và thời lượng tối thiểu.</t>
  </si>
  <si>
    <t xml:space="preserve">Cách cập nhật: sửa WBS, giao việc hoặc mốc và lập lại lịch theo skill master schedule. Không sửa tay các ô chữ xanh dương.</t>
  </si>
  <si>
    <t xml:space="preserve">Nguồn dữ liệu: lịch dự án do công cụ của nhóm lập, tạo lúc 25/10/2026 17:46.</t>
  </si>
</sst>
</file>

<file path=xl/styles.xml><?xml version="1.0" encoding="utf-8"?>
<styleSheet xmlns="http://schemas.openxmlformats.org/spreadsheetml/2006/main">
  <numFmts count="6">
    <numFmt numFmtId="164" formatCode="General"/>
    <numFmt numFmtId="165" formatCode="dd/mm/yyyy"/>
    <numFmt numFmtId="166" formatCode="0"/>
    <numFmt numFmtId="167" formatCode="#,##0.00;\(#,##0.00\);\-"/>
    <numFmt numFmtId="168" formatCode="0.0%;\(0.0%\);\-"/>
    <numFmt numFmtId="169" formatCode="dd/mm"/>
  </numFmts>
  <fonts count="10">
    <font>
      <sz val="11"/>
      <color theme="1"/>
      <name val="Calibri"/>
      <family val="2"/>
      <charset val="1"/>
    </font>
    <font>
      <sz val="10"/>
      <name val="Arial"/>
      <family val="0"/>
    </font>
    <font>
      <sz val="10"/>
      <name val="Arial"/>
      <family val="0"/>
    </font>
    <font>
      <sz val="10"/>
      <name val="Arial"/>
      <family val="0"/>
    </font>
    <font>
      <b val="true"/>
      <sz val="14"/>
      <name val="Times New Roman"/>
      <family val="0"/>
      <charset val="1"/>
    </font>
    <font>
      <sz val="11"/>
      <name val="Times New Roman"/>
      <family val="0"/>
      <charset val="1"/>
    </font>
    <font>
      <b val="true"/>
      <sz val="11"/>
      <name val="Times New Roman"/>
      <family val="0"/>
      <charset val="1"/>
    </font>
    <font>
      <sz val="11"/>
      <color rgb="FF0000FF"/>
      <name val="Times New Roman"/>
      <family val="0"/>
      <charset val="1"/>
    </font>
    <font>
      <i val="true"/>
      <sz val="10"/>
      <name val="Times New Roman"/>
      <family val="0"/>
      <charset val="1"/>
    </font>
    <font>
      <sz val="8"/>
      <color rgb="FF0000FF"/>
      <name val="Times New Roman"/>
      <family val="0"/>
      <charset val="1"/>
    </font>
  </fonts>
  <fills count="3">
    <fill>
      <patternFill patternType="none"/>
    </fill>
    <fill>
      <patternFill patternType="gray125"/>
    </fill>
    <fill>
      <patternFill patternType="solid">
        <fgColor rgb="FFD9E1F2"/>
        <bgColor rgb="FFCCFFFF"/>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right" vertical="bottom" textRotation="9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F8CBAD"/>
        </patternFill>
      </fill>
    </dxf>
    <dxf>
      <fill>
        <patternFill>
          <bgColor rgb="FF808080"/>
        </patternFill>
      </fill>
    </dxf>
    <dxf>
      <fill>
        <patternFill>
          <bgColor rgb="FFC00000"/>
        </patternFill>
      </fill>
    </dxf>
    <dxf>
      <fill>
        <patternFill>
          <bgColor rgb="FF4472C4"/>
        </patternFill>
      </fill>
    </dxf>
    <dxf>
      <fill>
        <patternFill>
          <bgColor rgb="FFFFE69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15625" defaultRowHeight="15" customHeight="false" zeroHeight="false" outlineLevelRow="0" outlineLevelCol="0"/>
  <cols>
    <col collapsed="false" customWidth="true" hidden="false" outlineLevel="0" max="1" min="1" style="0" width="36"/>
    <col collapsed="false" customWidth="true" hidden="false" outlineLevel="0" max="2" min="2" style="0" width="16"/>
    <col collapsed="false" customWidth="true" hidden="false" outlineLevel="0" max="6" min="6"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F3" s="3" t="s">
        <v>2</v>
      </c>
    </row>
    <row r="4" customFormat="false" ht="15" hidden="false" customHeight="false" outlineLevel="0" collapsed="false">
      <c r="A4" s="4" t="s">
        <v>3</v>
      </c>
      <c r="B4" s="5" t="n">
        <v>46464</v>
      </c>
      <c r="F4" s="5" t="n">
        <v>46493</v>
      </c>
    </row>
    <row r="5" customFormat="false" ht="15" hidden="false" customHeight="false" outlineLevel="0" collapsed="false">
      <c r="A5" s="4" t="s">
        <v>4</v>
      </c>
      <c r="B5" s="5" t="n">
        <v>46597</v>
      </c>
      <c r="F5" s="5" t="n">
        <v>46507</v>
      </c>
    </row>
    <row r="6" customFormat="false" ht="15" hidden="false" customHeight="false" outlineLevel="0" collapsed="false">
      <c r="A6" s="4" t="s">
        <v>5</v>
      </c>
      <c r="B6" s="6" t="n">
        <f aca="false">NETWORKDAYS(B4,B5,$F$4:$F$40)</f>
        <v>93</v>
      </c>
      <c r="F6" s="5" t="n">
        <v>46510</v>
      </c>
    </row>
    <row r="7" customFormat="false" ht="15" hidden="false" customHeight="false" outlineLevel="0" collapsed="false">
      <c r="A7" s="4" t="s">
        <v>6</v>
      </c>
      <c r="B7" s="7" t="n">
        <f aca="false">SUMIFS(Lich_trinh!D:D,Lich_trinh!C:C,1)</f>
        <v>733</v>
      </c>
    </row>
    <row r="8" customFormat="false" ht="15" hidden="false" customHeight="false" outlineLevel="0" collapsed="false">
      <c r="A8" s="4" t="s">
        <v>7</v>
      </c>
      <c r="B8" s="7" t="n">
        <f aca="false">SUM(Phan_bo!E:E)</f>
        <v>908</v>
      </c>
    </row>
    <row r="9" customFormat="false" ht="15" hidden="false" customHeight="false" outlineLevel="0" collapsed="false">
      <c r="A9" s="4" t="s">
        <v>8</v>
      </c>
      <c r="B9" s="8" t="n">
        <f aca="false">IF(B8=0,0,B7/B8)</f>
        <v>0.80726872246696</v>
      </c>
    </row>
    <row r="10" customFormat="false" ht="15" hidden="false" customHeight="false" outlineLevel="0" collapsed="false">
      <c r="A10" s="4" t="s">
        <v>9</v>
      </c>
      <c r="B10" s="5" t="n">
        <v>46597</v>
      </c>
    </row>
    <row r="11" customFormat="false" ht="15" hidden="false" customHeight="false" outlineLevel="0" collapsed="false">
      <c r="A11" s="4" t="s">
        <v>10</v>
      </c>
      <c r="B11" s="9" t="n">
        <v>7</v>
      </c>
    </row>
    <row r="12" customFormat="false" ht="15" hidden="false" customHeight="false" outlineLevel="0" collapsed="false">
      <c r="A12" s="4" t="s">
        <v>11</v>
      </c>
      <c r="B12" s="6" t="n">
        <f aca="false">COUNTIFS(Sprint!A:A,"S*",Sprint!A:A,"&lt;&gt;Sprint")</f>
        <v>9</v>
      </c>
    </row>
    <row r="13" customFormat="false" ht="15" hidden="false" customHeight="false" outlineLevel="0" collapsed="false">
      <c r="A13" s="4" t="s">
        <v>12</v>
      </c>
      <c r="B13" s="9" t="n">
        <v>51</v>
      </c>
    </row>
    <row r="14" customFormat="false" ht="15" hidden="false" customHeight="false" outlineLevel="0" collapsed="false">
      <c r="A14" s="4" t="s">
        <v>13</v>
      </c>
      <c r="B14" s="10" t="n">
        <v>0.8</v>
      </c>
    </row>
    <row r="15" customFormat="false" ht="15" hidden="false" customHeight="false" outlineLevel="0" collapsed="false">
      <c r="A15" s="4" t="s">
        <v>14</v>
      </c>
      <c r="B15" s="5" t="n">
        <v>46611</v>
      </c>
    </row>
    <row r="16" customFormat="false" ht="15" hidden="false" customHeight="false" outlineLevel="0" collapsed="false">
      <c r="A16" s="11" t="s">
        <v>15</v>
      </c>
    </row>
  </sheetData>
  <conditionalFormatting sqref="B9">
    <cfRule type="expression" priority="2" aboveAverage="0" equalAverage="0" bottom="0" percent="0" rank="0" text="" dxfId="0">
      <formula>B9&lt;B14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2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15625" defaultRowHeight="15" customHeight="false"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5"/>
    <col collapsed="false" customWidth="true" hidden="false" outlineLevel="0" max="4" min="4" style="0" width="8"/>
    <col collapsed="false" customWidth="true" hidden="false" outlineLevel="0" max="5" min="5" style="0" width="24"/>
    <col collapsed="false" customWidth="true" hidden="false" outlineLevel="0" max="7" min="6" style="0" width="11"/>
    <col collapsed="false" customWidth="true" hidden="false" outlineLevel="0" max="8" min="8" style="0" width="10"/>
    <col collapsed="false" customWidth="true" hidden="false" outlineLevel="0" max="9" min="9" style="0" width="11"/>
    <col collapsed="false" customWidth="true" hidden="false" outlineLevel="0" max="10" min="10" style="0" width="8"/>
    <col collapsed="false" customWidth="true" hidden="false" outlineLevel="0" max="11" min="11" style="0" width="14"/>
    <col collapsed="false" customWidth="true" hidden="false" outlineLevel="0" max="12" min="12" style="0" width="7"/>
    <col collapsed="false" customWidth="true" hidden="false" outlineLevel="0" max="13" min="13" style="0" width="8"/>
    <col collapsed="false" customWidth="true" hidden="false" outlineLevel="0" max="14" min="14" style="0" width="30"/>
    <col collapsed="false" customWidth="true" hidden="false" outlineLevel="0" max="36" min="15" style="0" width="4.2"/>
  </cols>
  <sheetData>
    <row r="1" customFormat="false" ht="17.35" hidden="false" customHeight="false" outlineLevel="0" collapsed="false">
      <c r="A1" s="1" t="s">
        <v>16</v>
      </c>
    </row>
    <row r="3" customFormat="false" ht="36" hidden="false" customHeight="true" outlineLevel="0" collapsed="false">
      <c r="O3" s="12" t="n">
        <v>46461</v>
      </c>
      <c r="P3" s="12" t="n">
        <v>46468</v>
      </c>
      <c r="Q3" s="12" t="n">
        <v>46475</v>
      </c>
      <c r="R3" s="12" t="n">
        <v>46482</v>
      </c>
      <c r="S3" s="12" t="n">
        <v>46489</v>
      </c>
      <c r="T3" s="12" t="n">
        <v>46496</v>
      </c>
      <c r="U3" s="12" t="n">
        <v>46503</v>
      </c>
      <c r="V3" s="12" t="n">
        <v>46510</v>
      </c>
      <c r="W3" s="12" t="n">
        <v>46517</v>
      </c>
      <c r="X3" s="12" t="n">
        <v>46524</v>
      </c>
      <c r="Y3" s="12" t="n">
        <v>46531</v>
      </c>
      <c r="Z3" s="12" t="n">
        <v>46538</v>
      </c>
      <c r="AA3" s="12" t="n">
        <v>46545</v>
      </c>
      <c r="AB3" s="12" t="n">
        <v>46552</v>
      </c>
      <c r="AC3" s="12" t="n">
        <v>46559</v>
      </c>
      <c r="AD3" s="12" t="n">
        <v>46566</v>
      </c>
      <c r="AE3" s="12" t="n">
        <v>46573</v>
      </c>
      <c r="AF3" s="12" t="n">
        <v>46580</v>
      </c>
      <c r="AG3" s="12" t="n">
        <v>46587</v>
      </c>
      <c r="AH3" s="12" t="n">
        <v>46594</v>
      </c>
      <c r="AI3" s="12" t="n">
        <v>46601</v>
      </c>
      <c r="AJ3" s="12" t="n">
        <v>46608</v>
      </c>
    </row>
    <row r="4" customFormat="false" ht="25" hidden="false" customHeight="false" outlineLevel="0" collapsed="false">
      <c r="A4" s="13" t="s">
        <v>17</v>
      </c>
      <c r="B4" s="13" t="s">
        <v>18</v>
      </c>
      <c r="C4" s="13" t="s">
        <v>19</v>
      </c>
      <c r="D4" s="13" t="s">
        <v>20</v>
      </c>
      <c r="E4" s="13" t="s">
        <v>21</v>
      </c>
      <c r="F4" s="13" t="s">
        <v>22</v>
      </c>
      <c r="G4" s="13" t="s">
        <v>23</v>
      </c>
      <c r="H4" s="13" t="s">
        <v>5</v>
      </c>
      <c r="I4" s="13" t="s">
        <v>24</v>
      </c>
      <c r="J4" s="13" t="s">
        <v>25</v>
      </c>
      <c r="K4" s="13" t="s">
        <v>26</v>
      </c>
      <c r="L4" s="13" t="s">
        <v>27</v>
      </c>
      <c r="M4" s="13" t="s">
        <v>28</v>
      </c>
      <c r="N4" s="13" t="s">
        <v>29</v>
      </c>
      <c r="O4" s="13" t="s">
        <v>30</v>
      </c>
      <c r="P4" s="13" t="s">
        <v>31</v>
      </c>
      <c r="Q4" s="13" t="s">
        <v>32</v>
      </c>
      <c r="R4" s="13" t="s">
        <v>33</v>
      </c>
      <c r="S4" s="13" t="s">
        <v>34</v>
      </c>
      <c r="T4" s="13" t="s">
        <v>35</v>
      </c>
      <c r="U4" s="13" t="s">
        <v>36</v>
      </c>
      <c r="V4" s="13" t="s">
        <v>37</v>
      </c>
      <c r="W4" s="13" t="s">
        <v>38</v>
      </c>
      <c r="X4" s="13" t="s">
        <v>39</v>
      </c>
      <c r="Y4" s="13" t="s">
        <v>40</v>
      </c>
      <c r="Z4" s="13" t="s">
        <v>41</v>
      </c>
      <c r="AA4" s="13" t="s">
        <v>42</v>
      </c>
      <c r="AB4" s="13" t="s">
        <v>43</v>
      </c>
      <c r="AC4" s="13" t="s">
        <v>44</v>
      </c>
      <c r="AD4" s="13" t="s">
        <v>45</v>
      </c>
      <c r="AE4" s="13" t="s">
        <v>46</v>
      </c>
      <c r="AF4" s="13" t="s">
        <v>47</v>
      </c>
      <c r="AG4" s="13" t="s">
        <v>48</v>
      </c>
      <c r="AH4" s="13" t="s">
        <v>49</v>
      </c>
      <c r="AI4" s="13" t="s">
        <v>50</v>
      </c>
      <c r="AJ4" s="13" t="s">
        <v>51</v>
      </c>
    </row>
    <row r="5" customFormat="false" ht="15" hidden="false" customHeight="false" outlineLevel="0" collapsed="false">
      <c r="A5" s="3" t="s">
        <v>52</v>
      </c>
      <c r="B5" s="3" t="s">
        <v>53</v>
      </c>
      <c r="C5" s="4" t="n">
        <v>1</v>
      </c>
      <c r="D5" s="14" t="n">
        <f aca="false">SUMIFS(D:D,M:M,A5)</f>
        <v>151</v>
      </c>
      <c r="E5" s="4"/>
      <c r="F5" s="15" t="n">
        <f aca="false">_xlfn.MINIFS(F:F,M:M,A5)</f>
        <v>46464</v>
      </c>
      <c r="G5" s="15" t="n">
        <f aca="false">_xlfn.MAXIFS(G:G,M:M,A5)</f>
        <v>46603</v>
      </c>
      <c r="H5" s="6" t="n">
        <f aca="false">NETWORKDAYS(F5,G5,Tong_quan!$F$4:$F$40)</f>
        <v>97</v>
      </c>
      <c r="I5" s="16" t="s">
        <v>54</v>
      </c>
      <c r="J5" s="16"/>
      <c r="K5" s="4"/>
      <c r="L5" s="4"/>
      <c r="M5" s="4"/>
      <c r="N5" s="16"/>
    </row>
    <row r="6" customFormat="false" ht="15" hidden="false" customHeight="false" outlineLevel="0" collapsed="false">
      <c r="A6" s="3" t="s">
        <v>55</v>
      </c>
      <c r="B6" s="3" t="s">
        <v>56</v>
      </c>
      <c r="C6" s="4" t="n">
        <v>2</v>
      </c>
      <c r="D6" s="14" t="n">
        <f aca="false">SUMIFS(D:D,M:M,A6)</f>
        <v>14</v>
      </c>
      <c r="E6" s="4"/>
      <c r="F6" s="15" t="n">
        <f aca="false">_xlfn.MINIFS(F:F,M:M,A6)</f>
        <v>46464</v>
      </c>
      <c r="G6" s="15" t="n">
        <f aca="false">_xlfn.MAXIFS(G:G,M:M,A6)</f>
        <v>46603</v>
      </c>
      <c r="H6" s="6" t="n">
        <f aca="false">NETWORKDAYS(F6,G6,Tong_quan!$F$4:$F$40)</f>
        <v>97</v>
      </c>
      <c r="I6" s="16" t="s">
        <v>57</v>
      </c>
      <c r="J6" s="16"/>
      <c r="K6" s="4"/>
      <c r="L6" s="4"/>
      <c r="M6" s="4" t="s">
        <v>52</v>
      </c>
      <c r="N6" s="16"/>
    </row>
    <row r="7" customFormat="false" ht="15" hidden="false" customHeight="false" outlineLevel="0" collapsed="false">
      <c r="A7" s="4" t="s">
        <v>58</v>
      </c>
      <c r="B7" s="4" t="s">
        <v>59</v>
      </c>
      <c r="C7" s="4" t="n">
        <v>3</v>
      </c>
      <c r="D7" s="17" t="n">
        <v>2</v>
      </c>
      <c r="E7" s="16" t="s">
        <v>60</v>
      </c>
      <c r="F7" s="5" t="n">
        <v>46464</v>
      </c>
      <c r="G7" s="5" t="n">
        <v>46469</v>
      </c>
      <c r="H7" s="6" t="n">
        <f aca="false">NETWORKDAYS(F7,G7,Tong_quan!$F$4:$F$40)</f>
        <v>4</v>
      </c>
      <c r="I7" s="16" t="s">
        <v>61</v>
      </c>
      <c r="J7" s="16"/>
      <c r="K7" s="16"/>
      <c r="L7" s="16"/>
      <c r="M7" s="4" t="s">
        <v>55</v>
      </c>
      <c r="N7" s="16"/>
    </row>
    <row r="8" customFormat="false" ht="15" hidden="false" customHeight="false" outlineLevel="0" collapsed="false">
      <c r="A8" s="4" t="s">
        <v>62</v>
      </c>
      <c r="B8" s="4" t="s">
        <v>63</v>
      </c>
      <c r="C8" s="4" t="n">
        <v>3</v>
      </c>
      <c r="D8" s="17" t="n">
        <v>4</v>
      </c>
      <c r="E8" s="16" t="s">
        <v>64</v>
      </c>
      <c r="F8" s="5" t="n">
        <v>46464</v>
      </c>
      <c r="G8" s="5" t="n">
        <v>46597</v>
      </c>
      <c r="H8" s="6" t="n">
        <f aca="false">NETWORKDAYS(F8,G8,Tong_quan!$F$4:$F$40)</f>
        <v>93</v>
      </c>
      <c r="I8" s="16" t="s">
        <v>65</v>
      </c>
      <c r="J8" s="16"/>
      <c r="K8" s="16"/>
      <c r="L8" s="16"/>
      <c r="M8" s="4" t="s">
        <v>55</v>
      </c>
      <c r="N8" s="16"/>
    </row>
    <row r="9" customFormat="false" ht="15" hidden="false" customHeight="false" outlineLevel="0" collapsed="false">
      <c r="A9" s="4" t="s">
        <v>66</v>
      </c>
      <c r="B9" s="4" t="s">
        <v>67</v>
      </c>
      <c r="C9" s="4" t="n">
        <v>3</v>
      </c>
      <c r="D9" s="17" t="n">
        <v>3</v>
      </c>
      <c r="E9" s="16" t="s">
        <v>64</v>
      </c>
      <c r="F9" s="5" t="n">
        <v>46464</v>
      </c>
      <c r="G9" s="5" t="n">
        <v>46597</v>
      </c>
      <c r="H9" s="6" t="n">
        <f aca="false">NETWORKDAYS(F9,G9,Tong_quan!$F$4:$F$40)</f>
        <v>93</v>
      </c>
      <c r="I9" s="16" t="s">
        <v>65</v>
      </c>
      <c r="J9" s="16"/>
      <c r="K9" s="16"/>
      <c r="L9" s="16"/>
      <c r="M9" s="4" t="s">
        <v>55</v>
      </c>
      <c r="N9" s="16"/>
    </row>
    <row r="10" customFormat="false" ht="15" hidden="false" customHeight="false" outlineLevel="0" collapsed="false">
      <c r="A10" s="4" t="s">
        <v>68</v>
      </c>
      <c r="B10" s="4" t="s">
        <v>69</v>
      </c>
      <c r="C10" s="4" t="n">
        <v>3</v>
      </c>
      <c r="D10" s="17" t="n">
        <v>3</v>
      </c>
      <c r="E10" s="16" t="s">
        <v>64</v>
      </c>
      <c r="F10" s="5" t="n">
        <v>46464</v>
      </c>
      <c r="G10" s="5" t="n">
        <v>46597</v>
      </c>
      <c r="H10" s="6" t="n">
        <f aca="false">NETWORKDAYS(F10,G10,Tong_quan!$F$4:$F$40)</f>
        <v>93</v>
      </c>
      <c r="I10" s="16" t="s">
        <v>65</v>
      </c>
      <c r="J10" s="16"/>
      <c r="K10" s="16"/>
      <c r="L10" s="16"/>
      <c r="M10" s="4" t="s">
        <v>55</v>
      </c>
      <c r="N10" s="16"/>
    </row>
    <row r="11" customFormat="false" ht="15" hidden="false" customHeight="false" outlineLevel="0" collapsed="false">
      <c r="A11" s="4" t="s">
        <v>70</v>
      </c>
      <c r="B11" s="4" t="s">
        <v>71</v>
      </c>
      <c r="C11" s="4" t="n">
        <v>3</v>
      </c>
      <c r="D11" s="17" t="n">
        <v>2</v>
      </c>
      <c r="E11" s="16" t="s">
        <v>60</v>
      </c>
      <c r="F11" s="5" t="n">
        <v>46598</v>
      </c>
      <c r="G11" s="5" t="n">
        <v>46603</v>
      </c>
      <c r="H11" s="6" t="n">
        <f aca="false">NETWORKDAYS(F11,G11,Tong_quan!$F$4:$F$40)</f>
        <v>4</v>
      </c>
      <c r="I11" s="16" t="s">
        <v>23</v>
      </c>
      <c r="J11" s="16"/>
      <c r="K11" s="16" t="s">
        <v>72</v>
      </c>
      <c r="L11" s="16"/>
      <c r="M11" s="4" t="s">
        <v>55</v>
      </c>
      <c r="N11" s="16"/>
    </row>
    <row r="12" customFormat="false" ht="15" hidden="false" customHeight="false" outlineLevel="0" collapsed="false">
      <c r="A12" s="3" t="s">
        <v>73</v>
      </c>
      <c r="B12" s="3" t="s">
        <v>74</v>
      </c>
      <c r="C12" s="4" t="n">
        <v>2</v>
      </c>
      <c r="D12" s="14" t="n">
        <f aca="false">SUMIFS(D:D,M:M,A12)</f>
        <v>32</v>
      </c>
      <c r="E12" s="4"/>
      <c r="F12" s="15" t="n">
        <f aca="false">_xlfn.MINIFS(F:F,M:M,A12)</f>
        <v>46470</v>
      </c>
      <c r="G12" s="15" t="n">
        <f aca="false">_xlfn.MAXIFS(G:G,M:M,A12)</f>
        <v>46517</v>
      </c>
      <c r="H12" s="6" t="n">
        <f aca="false">NETWORKDAYS(F12,G12,Tong_quan!$F$4:$F$40)</f>
        <v>31</v>
      </c>
      <c r="I12" s="16" t="s">
        <v>75</v>
      </c>
      <c r="J12" s="16" t="s">
        <v>76</v>
      </c>
      <c r="K12" s="4"/>
      <c r="L12" s="4"/>
      <c r="M12" s="4" t="s">
        <v>52</v>
      </c>
      <c r="N12" s="16"/>
    </row>
    <row r="13" customFormat="false" ht="15" hidden="false" customHeight="false" outlineLevel="0" collapsed="false">
      <c r="A13" s="4" t="s">
        <v>77</v>
      </c>
      <c r="B13" s="4" t="s">
        <v>78</v>
      </c>
      <c r="C13" s="4" t="n">
        <v>3</v>
      </c>
      <c r="D13" s="17" t="n">
        <v>4</v>
      </c>
      <c r="E13" s="16" t="s">
        <v>79</v>
      </c>
      <c r="F13" s="5" t="n">
        <v>46470</v>
      </c>
      <c r="G13" s="5" t="n">
        <v>46472</v>
      </c>
      <c r="H13" s="6" t="n">
        <f aca="false">NETWORKDAYS(F13,G13,Tong_quan!$F$4:$F$40)</f>
        <v>3</v>
      </c>
      <c r="I13" s="16" t="s">
        <v>75</v>
      </c>
      <c r="J13" s="16" t="s">
        <v>80</v>
      </c>
      <c r="K13" s="16" t="s">
        <v>81</v>
      </c>
      <c r="L13" s="16"/>
      <c r="M13" s="4" t="s">
        <v>73</v>
      </c>
      <c r="N13" s="16"/>
    </row>
    <row r="14" customFormat="false" ht="15" hidden="false" customHeight="false" outlineLevel="0" collapsed="false">
      <c r="A14" s="4" t="s">
        <v>82</v>
      </c>
      <c r="B14" s="4" t="s">
        <v>83</v>
      </c>
      <c r="C14" s="4" t="n">
        <v>3</v>
      </c>
      <c r="D14" s="17" t="n">
        <v>3</v>
      </c>
      <c r="E14" s="16" t="s">
        <v>84</v>
      </c>
      <c r="F14" s="5" t="n">
        <v>46478</v>
      </c>
      <c r="G14" s="5" t="n">
        <v>46482</v>
      </c>
      <c r="H14" s="6" t="n">
        <f aca="false">NETWORKDAYS(F14,G14,Tong_quan!$F$4:$F$40)</f>
        <v>3</v>
      </c>
      <c r="I14" s="16" t="s">
        <v>75</v>
      </c>
      <c r="J14" s="16" t="s">
        <v>85</v>
      </c>
      <c r="K14" s="16" t="s">
        <v>77</v>
      </c>
      <c r="L14" s="16"/>
      <c r="M14" s="4" t="s">
        <v>73</v>
      </c>
      <c r="N14" s="16"/>
    </row>
    <row r="15" customFormat="false" ht="15" hidden="false" customHeight="false" outlineLevel="0" collapsed="false">
      <c r="A15" s="4" t="s">
        <v>86</v>
      </c>
      <c r="B15" s="4" t="s">
        <v>87</v>
      </c>
      <c r="C15" s="4" t="n">
        <v>3</v>
      </c>
      <c r="D15" s="17" t="n">
        <v>4</v>
      </c>
      <c r="E15" s="16" t="s">
        <v>88</v>
      </c>
      <c r="F15" s="5" t="n">
        <v>46483</v>
      </c>
      <c r="G15" s="5" t="n">
        <v>46484</v>
      </c>
      <c r="H15" s="6" t="n">
        <f aca="false">NETWORKDAYS(F15,G15,Tong_quan!$F$4:$F$40)</f>
        <v>2</v>
      </c>
      <c r="I15" s="16" t="s">
        <v>75</v>
      </c>
      <c r="J15" s="16" t="s">
        <v>85</v>
      </c>
      <c r="K15" s="16" t="s">
        <v>89</v>
      </c>
      <c r="L15" s="16"/>
      <c r="M15" s="4" t="s">
        <v>73</v>
      </c>
      <c r="N15" s="16"/>
    </row>
    <row r="16" customFormat="false" ht="15" hidden="false" customHeight="false" outlineLevel="0" collapsed="false">
      <c r="A16" s="4" t="s">
        <v>90</v>
      </c>
      <c r="B16" s="4" t="s">
        <v>91</v>
      </c>
      <c r="C16" s="4" t="n">
        <v>3</v>
      </c>
      <c r="D16" s="17" t="n">
        <v>4</v>
      </c>
      <c r="E16" s="16" t="s">
        <v>92</v>
      </c>
      <c r="F16" s="5" t="n">
        <v>46485</v>
      </c>
      <c r="G16" s="5" t="n">
        <v>46490</v>
      </c>
      <c r="H16" s="6" t="n">
        <f aca="false">NETWORKDAYS(F16,G16,Tong_quan!$F$4:$F$40)</f>
        <v>4</v>
      </c>
      <c r="I16" s="16" t="s">
        <v>75</v>
      </c>
      <c r="J16" s="16" t="s">
        <v>85</v>
      </c>
      <c r="K16" s="16" t="s">
        <v>93</v>
      </c>
      <c r="L16" s="16"/>
      <c r="M16" s="4" t="s">
        <v>73</v>
      </c>
      <c r="N16" s="16"/>
    </row>
    <row r="17" customFormat="false" ht="15" hidden="false" customHeight="false" outlineLevel="0" collapsed="false">
      <c r="A17" s="4" t="s">
        <v>94</v>
      </c>
      <c r="B17" s="4" t="s">
        <v>95</v>
      </c>
      <c r="C17" s="4" t="n">
        <v>3</v>
      </c>
      <c r="D17" s="17" t="n">
        <v>5</v>
      </c>
      <c r="E17" s="16" t="s">
        <v>84</v>
      </c>
      <c r="F17" s="5" t="n">
        <v>46483</v>
      </c>
      <c r="G17" s="5" t="n">
        <v>46490</v>
      </c>
      <c r="H17" s="6" t="n">
        <f aca="false">NETWORKDAYS(F17,G17,Tong_quan!$F$4:$F$40)</f>
        <v>6</v>
      </c>
      <c r="I17" s="16" t="s">
        <v>75</v>
      </c>
      <c r="J17" s="16" t="s">
        <v>85</v>
      </c>
      <c r="K17" s="16" t="s">
        <v>77</v>
      </c>
      <c r="L17" s="16"/>
      <c r="M17" s="4" t="s">
        <v>73</v>
      </c>
      <c r="N17" s="16"/>
    </row>
    <row r="18" customFormat="false" ht="15" hidden="false" customHeight="false" outlineLevel="0" collapsed="false">
      <c r="A18" s="4" t="s">
        <v>96</v>
      </c>
      <c r="B18" s="4" t="s">
        <v>97</v>
      </c>
      <c r="C18" s="4" t="n">
        <v>3</v>
      </c>
      <c r="D18" s="17" t="n">
        <v>3</v>
      </c>
      <c r="E18" s="16" t="s">
        <v>98</v>
      </c>
      <c r="F18" s="5" t="n">
        <v>46496</v>
      </c>
      <c r="G18" s="5" t="n">
        <v>46498</v>
      </c>
      <c r="H18" s="6" t="n">
        <f aca="false">NETWORKDAYS(F18,G18,Tong_quan!$F$4:$F$40)</f>
        <v>3</v>
      </c>
      <c r="I18" s="16" t="s">
        <v>75</v>
      </c>
      <c r="J18" s="16" t="s">
        <v>99</v>
      </c>
      <c r="K18" s="16" t="s">
        <v>100</v>
      </c>
      <c r="L18" s="16"/>
      <c r="M18" s="4" t="s">
        <v>73</v>
      </c>
      <c r="N18" s="16"/>
    </row>
    <row r="19" customFormat="false" ht="15" hidden="false" customHeight="false" outlineLevel="0" collapsed="false">
      <c r="A19" s="4" t="s">
        <v>101</v>
      </c>
      <c r="B19" s="4" t="s">
        <v>102</v>
      </c>
      <c r="C19" s="4" t="n">
        <v>3</v>
      </c>
      <c r="D19" s="17" t="n">
        <v>5</v>
      </c>
      <c r="E19" s="16" t="s">
        <v>103</v>
      </c>
      <c r="F19" s="5" t="n">
        <v>46491</v>
      </c>
      <c r="G19" s="5" t="n">
        <v>46498</v>
      </c>
      <c r="H19" s="6" t="n">
        <f aca="false">NETWORKDAYS(F19,G19,Tong_quan!$F$4:$F$40)</f>
        <v>5</v>
      </c>
      <c r="I19" s="16" t="s">
        <v>75</v>
      </c>
      <c r="J19" s="16" t="s">
        <v>104</v>
      </c>
      <c r="K19" s="16" t="s">
        <v>105</v>
      </c>
      <c r="L19" s="16"/>
      <c r="M19" s="4" t="s">
        <v>73</v>
      </c>
      <c r="N19" s="16"/>
    </row>
    <row r="20" customFormat="false" ht="15" hidden="false" customHeight="false" outlineLevel="0" collapsed="false">
      <c r="A20" s="4" t="s">
        <v>106</v>
      </c>
      <c r="B20" s="4" t="s">
        <v>107</v>
      </c>
      <c r="C20" s="4" t="n">
        <v>3</v>
      </c>
      <c r="D20" s="17" t="n">
        <v>4</v>
      </c>
      <c r="E20" s="16" t="s">
        <v>60</v>
      </c>
      <c r="F20" s="5" t="n">
        <v>46504</v>
      </c>
      <c r="G20" s="5" t="n">
        <v>46517</v>
      </c>
      <c r="H20" s="6" t="n">
        <f aca="false">NETWORKDAYS(F20,G20,Tong_quan!$F$4:$F$40)</f>
        <v>8</v>
      </c>
      <c r="I20" s="16" t="s">
        <v>75</v>
      </c>
      <c r="J20" s="16" t="s">
        <v>108</v>
      </c>
      <c r="K20" s="16" t="s">
        <v>109</v>
      </c>
      <c r="L20" s="16"/>
      <c r="M20" s="4" t="s">
        <v>73</v>
      </c>
      <c r="N20" s="16"/>
    </row>
    <row r="21" customFormat="false" ht="15" hidden="false" customHeight="false" outlineLevel="0" collapsed="false">
      <c r="A21" s="3" t="s">
        <v>110</v>
      </c>
      <c r="B21" s="3" t="s">
        <v>111</v>
      </c>
      <c r="C21" s="4" t="n">
        <v>2</v>
      </c>
      <c r="D21" s="14" t="n">
        <f aca="false">SUMIFS(D:D,M:M,A21)</f>
        <v>39</v>
      </c>
      <c r="E21" s="4"/>
      <c r="F21" s="15" t="n">
        <f aca="false">_xlfn.MINIFS(F:F,M:M,A21)</f>
        <v>46504</v>
      </c>
      <c r="G21" s="15" t="n">
        <f aca="false">_xlfn.MAXIFS(G:G,M:M,A21)</f>
        <v>46538</v>
      </c>
      <c r="H21" s="6" t="n">
        <f aca="false">NETWORKDAYS(F21,G21,Tong_quan!$F$4:$F$40)</f>
        <v>23</v>
      </c>
      <c r="I21" s="16" t="s">
        <v>75</v>
      </c>
      <c r="J21" s="16" t="s">
        <v>112</v>
      </c>
      <c r="K21" s="4"/>
      <c r="L21" s="4"/>
      <c r="M21" s="4" t="s">
        <v>52</v>
      </c>
      <c r="N21" s="16"/>
    </row>
    <row r="22" customFormat="false" ht="15" hidden="false" customHeight="false" outlineLevel="0" collapsed="false">
      <c r="A22" s="4" t="s">
        <v>113</v>
      </c>
      <c r="B22" s="4" t="s">
        <v>114</v>
      </c>
      <c r="C22" s="4" t="n">
        <v>3</v>
      </c>
      <c r="D22" s="17" t="n">
        <v>5</v>
      </c>
      <c r="E22" s="16" t="s">
        <v>115</v>
      </c>
      <c r="F22" s="5" t="n">
        <v>46504</v>
      </c>
      <c r="G22" s="5" t="n">
        <v>46513</v>
      </c>
      <c r="H22" s="6" t="n">
        <f aca="false">NETWORKDAYS(F22,G22,Tong_quan!$F$4:$F$40)</f>
        <v>6</v>
      </c>
      <c r="I22" s="16" t="s">
        <v>75</v>
      </c>
      <c r="J22" s="16" t="s">
        <v>99</v>
      </c>
      <c r="K22" s="16" t="s">
        <v>116</v>
      </c>
      <c r="L22" s="16"/>
      <c r="M22" s="4" t="s">
        <v>110</v>
      </c>
      <c r="N22" s="16"/>
    </row>
    <row r="23" customFormat="false" ht="15" hidden="false" customHeight="false" outlineLevel="0" collapsed="false">
      <c r="A23" s="4" t="s">
        <v>117</v>
      </c>
      <c r="B23" s="4" t="s">
        <v>118</v>
      </c>
      <c r="C23" s="4" t="n">
        <v>3</v>
      </c>
      <c r="D23" s="17" t="n">
        <v>5</v>
      </c>
      <c r="E23" s="16" t="s">
        <v>119</v>
      </c>
      <c r="F23" s="5" t="n">
        <v>46517</v>
      </c>
      <c r="G23" s="5" t="n">
        <v>46521</v>
      </c>
      <c r="H23" s="6" t="n">
        <f aca="false">NETWORKDAYS(F23,G23,Tong_quan!$F$4:$F$40)</f>
        <v>5</v>
      </c>
      <c r="I23" s="16" t="s">
        <v>75</v>
      </c>
      <c r="J23" s="16" t="s">
        <v>120</v>
      </c>
      <c r="K23" s="16" t="s">
        <v>116</v>
      </c>
      <c r="L23" s="16"/>
      <c r="M23" s="4" t="s">
        <v>110</v>
      </c>
      <c r="N23" s="16"/>
    </row>
    <row r="24" customFormat="false" ht="15" hidden="false" customHeight="false" outlineLevel="0" collapsed="false">
      <c r="A24" s="4" t="s">
        <v>121</v>
      </c>
      <c r="B24" s="4" t="s">
        <v>122</v>
      </c>
      <c r="C24" s="4" t="n">
        <v>3</v>
      </c>
      <c r="D24" s="17" t="n">
        <v>5</v>
      </c>
      <c r="E24" s="16" t="s">
        <v>115</v>
      </c>
      <c r="F24" s="5" t="n">
        <v>46513</v>
      </c>
      <c r="G24" s="5" t="n">
        <v>46520</v>
      </c>
      <c r="H24" s="6" t="n">
        <f aca="false">NETWORKDAYS(F24,G24,Tong_quan!$F$4:$F$40)</f>
        <v>6</v>
      </c>
      <c r="I24" s="16" t="s">
        <v>75</v>
      </c>
      <c r="J24" s="16" t="s">
        <v>108</v>
      </c>
      <c r="K24" s="16" t="s">
        <v>116</v>
      </c>
      <c r="L24" s="16"/>
      <c r="M24" s="4" t="s">
        <v>110</v>
      </c>
      <c r="N24" s="16"/>
    </row>
    <row r="25" customFormat="false" ht="15" hidden="false" customHeight="false" outlineLevel="0" collapsed="false">
      <c r="A25" s="4" t="s">
        <v>123</v>
      </c>
      <c r="B25" s="4" t="s">
        <v>124</v>
      </c>
      <c r="C25" s="4" t="n">
        <v>3</v>
      </c>
      <c r="D25" s="17" t="n">
        <v>6</v>
      </c>
      <c r="E25" s="16" t="s">
        <v>125</v>
      </c>
      <c r="F25" s="5" t="n">
        <v>46520</v>
      </c>
      <c r="G25" s="5" t="n">
        <v>46528</v>
      </c>
      <c r="H25" s="6" t="n">
        <f aca="false">NETWORKDAYS(F25,G25,Tong_quan!$F$4:$F$40)</f>
        <v>7</v>
      </c>
      <c r="I25" s="16" t="s">
        <v>75</v>
      </c>
      <c r="J25" s="16" t="s">
        <v>126</v>
      </c>
      <c r="K25" s="16" t="s">
        <v>127</v>
      </c>
      <c r="L25" s="16"/>
      <c r="M25" s="4" t="s">
        <v>110</v>
      </c>
      <c r="N25" s="16"/>
    </row>
    <row r="26" customFormat="false" ht="15" hidden="false" customHeight="false" outlineLevel="0" collapsed="false">
      <c r="A26" s="4" t="s">
        <v>128</v>
      </c>
      <c r="B26" s="4" t="s">
        <v>129</v>
      </c>
      <c r="C26" s="4" t="n">
        <v>3</v>
      </c>
      <c r="D26" s="17" t="n">
        <v>4</v>
      </c>
      <c r="E26" s="16" t="s">
        <v>84</v>
      </c>
      <c r="F26" s="5" t="n">
        <v>46526</v>
      </c>
      <c r="G26" s="5" t="n">
        <v>46531</v>
      </c>
      <c r="H26" s="6" t="n">
        <f aca="false">NETWORKDAYS(F26,G26,Tong_quan!$F$4:$F$40)</f>
        <v>4</v>
      </c>
      <c r="I26" s="16" t="s">
        <v>75</v>
      </c>
      <c r="J26" s="16" t="s">
        <v>126</v>
      </c>
      <c r="K26" s="16" t="s">
        <v>130</v>
      </c>
      <c r="L26" s="16"/>
      <c r="M26" s="4" t="s">
        <v>110</v>
      </c>
      <c r="N26" s="16"/>
    </row>
    <row r="27" customFormat="false" ht="15" hidden="false" customHeight="false" outlineLevel="0" collapsed="false">
      <c r="A27" s="4" t="s">
        <v>131</v>
      </c>
      <c r="B27" s="4" t="s">
        <v>132</v>
      </c>
      <c r="C27" s="4" t="n">
        <v>3</v>
      </c>
      <c r="D27" s="17" t="n">
        <v>5</v>
      </c>
      <c r="E27" s="16" t="s">
        <v>133</v>
      </c>
      <c r="F27" s="5" t="n">
        <v>46514</v>
      </c>
      <c r="G27" s="5" t="n">
        <v>46520</v>
      </c>
      <c r="H27" s="6" t="n">
        <f aca="false">NETWORKDAYS(F27,G27,Tong_quan!$F$4:$F$40)</f>
        <v>5</v>
      </c>
      <c r="I27" s="16" t="s">
        <v>75</v>
      </c>
      <c r="J27" s="16" t="s">
        <v>120</v>
      </c>
      <c r="K27" s="16" t="s">
        <v>134</v>
      </c>
      <c r="L27" s="16"/>
      <c r="M27" s="4" t="s">
        <v>110</v>
      </c>
      <c r="N27" s="16"/>
    </row>
    <row r="28" customFormat="false" ht="15" hidden="false" customHeight="false" outlineLevel="0" collapsed="false">
      <c r="A28" s="4" t="s">
        <v>135</v>
      </c>
      <c r="B28" s="4" t="s">
        <v>136</v>
      </c>
      <c r="C28" s="4" t="n">
        <v>3</v>
      </c>
      <c r="D28" s="17" t="n">
        <v>5</v>
      </c>
      <c r="E28" s="16" t="s">
        <v>137</v>
      </c>
      <c r="F28" s="5" t="n">
        <v>46525</v>
      </c>
      <c r="G28" s="5" t="n">
        <v>46534</v>
      </c>
      <c r="H28" s="6" t="n">
        <f aca="false">NETWORKDAYS(F28,G28,Tong_quan!$F$4:$F$40)</f>
        <v>8</v>
      </c>
      <c r="I28" s="16" t="s">
        <v>75</v>
      </c>
      <c r="J28" s="16" t="s">
        <v>126</v>
      </c>
      <c r="K28" s="16" t="s">
        <v>130</v>
      </c>
      <c r="L28" s="16"/>
      <c r="M28" s="4" t="s">
        <v>110</v>
      </c>
      <c r="N28" s="16"/>
    </row>
    <row r="29" customFormat="false" ht="15" hidden="false" customHeight="false" outlineLevel="0" collapsed="false">
      <c r="A29" s="4" t="s">
        <v>138</v>
      </c>
      <c r="B29" s="4" t="s">
        <v>139</v>
      </c>
      <c r="C29" s="4" t="n">
        <v>3</v>
      </c>
      <c r="D29" s="17" t="n">
        <v>4</v>
      </c>
      <c r="E29" s="16" t="s">
        <v>140</v>
      </c>
      <c r="F29" s="5" t="n">
        <v>46531</v>
      </c>
      <c r="G29" s="5" t="n">
        <v>46538</v>
      </c>
      <c r="H29" s="6" t="n">
        <f aca="false">NETWORKDAYS(F29,G29,Tong_quan!$F$4:$F$40)</f>
        <v>6</v>
      </c>
      <c r="I29" s="16" t="s">
        <v>75</v>
      </c>
      <c r="J29" s="16" t="s">
        <v>141</v>
      </c>
      <c r="K29" s="16" t="s">
        <v>123</v>
      </c>
      <c r="L29" s="16"/>
      <c r="M29" s="4" t="s">
        <v>110</v>
      </c>
      <c r="N29" s="16"/>
    </row>
    <row r="30" customFormat="false" ht="15" hidden="false" customHeight="false" outlineLevel="0" collapsed="false">
      <c r="A30" s="3" t="s">
        <v>142</v>
      </c>
      <c r="B30" s="3" t="s">
        <v>143</v>
      </c>
      <c r="C30" s="4" t="n">
        <v>2</v>
      </c>
      <c r="D30" s="14" t="n">
        <f aca="false">SUMIFS(D:D,M:M,A30)</f>
        <v>54</v>
      </c>
      <c r="E30" s="4"/>
      <c r="F30" s="15" t="n">
        <f aca="false">_xlfn.MINIFS(F:F,M:M,A30)</f>
        <v>46517</v>
      </c>
      <c r="G30" s="15" t="n">
        <f aca="false">_xlfn.MAXIFS(G:G,M:M,A30)</f>
        <v>46595</v>
      </c>
      <c r="H30" s="6" t="n">
        <f aca="false">NETWORKDAYS(F30,G30,Tong_quan!$F$4:$F$40)</f>
        <v>57</v>
      </c>
      <c r="I30" s="16" t="s">
        <v>75</v>
      </c>
      <c r="J30" s="16" t="s">
        <v>144</v>
      </c>
      <c r="K30" s="4"/>
      <c r="L30" s="4"/>
      <c r="M30" s="4" t="s">
        <v>52</v>
      </c>
      <c r="N30" s="16"/>
    </row>
    <row r="31" customFormat="false" ht="15" hidden="false" customHeight="false" outlineLevel="0" collapsed="false">
      <c r="A31" s="4" t="s">
        <v>145</v>
      </c>
      <c r="B31" s="4" t="s">
        <v>146</v>
      </c>
      <c r="C31" s="4" t="n">
        <v>3</v>
      </c>
      <c r="D31" s="17" t="n">
        <v>6</v>
      </c>
      <c r="E31" s="16" t="s">
        <v>147</v>
      </c>
      <c r="F31" s="5" t="n">
        <v>46517</v>
      </c>
      <c r="G31" s="5" t="n">
        <v>46525</v>
      </c>
      <c r="H31" s="6" t="n">
        <f aca="false">NETWORKDAYS(F31,G31,Tong_quan!$F$4:$F$40)</f>
        <v>7</v>
      </c>
      <c r="I31" s="16" t="s">
        <v>75</v>
      </c>
      <c r="J31" s="16" t="s">
        <v>120</v>
      </c>
      <c r="K31" s="16" t="s">
        <v>148</v>
      </c>
      <c r="L31" s="16"/>
      <c r="M31" s="4" t="s">
        <v>142</v>
      </c>
      <c r="N31" s="16"/>
    </row>
    <row r="32" customFormat="false" ht="15" hidden="false" customHeight="false" outlineLevel="0" collapsed="false">
      <c r="A32" s="4" t="s">
        <v>149</v>
      </c>
      <c r="B32" s="4" t="s">
        <v>150</v>
      </c>
      <c r="C32" s="4" t="n">
        <v>3</v>
      </c>
      <c r="D32" s="17" t="n">
        <v>7</v>
      </c>
      <c r="E32" s="16" t="s">
        <v>98</v>
      </c>
      <c r="F32" s="5" t="n">
        <v>46526</v>
      </c>
      <c r="G32" s="5" t="n">
        <v>46535</v>
      </c>
      <c r="H32" s="6" t="n">
        <f aca="false">NETWORKDAYS(F32,G32,Tong_quan!$F$4:$F$40)</f>
        <v>8</v>
      </c>
      <c r="I32" s="16" t="s">
        <v>75</v>
      </c>
      <c r="J32" s="16" t="s">
        <v>126</v>
      </c>
      <c r="K32" s="16" t="s">
        <v>151</v>
      </c>
      <c r="L32" s="16"/>
      <c r="M32" s="4" t="s">
        <v>142</v>
      </c>
      <c r="N32" s="16"/>
    </row>
    <row r="33" customFormat="false" ht="15" hidden="false" customHeight="false" outlineLevel="0" collapsed="false">
      <c r="A33" s="4" t="s">
        <v>152</v>
      </c>
      <c r="B33" s="4" t="s">
        <v>153</v>
      </c>
      <c r="C33" s="4" t="n">
        <v>3</v>
      </c>
      <c r="D33" s="17" t="n">
        <v>6</v>
      </c>
      <c r="E33" s="16" t="s">
        <v>154</v>
      </c>
      <c r="F33" s="5" t="n">
        <v>46542</v>
      </c>
      <c r="G33" s="5" t="n">
        <v>46553</v>
      </c>
      <c r="H33" s="6" t="n">
        <f aca="false">NETWORKDAYS(F33,G33,Tong_quan!$F$4:$F$40)</f>
        <v>8</v>
      </c>
      <c r="I33" s="16" t="s">
        <v>75</v>
      </c>
      <c r="J33" s="16" t="s">
        <v>155</v>
      </c>
      <c r="K33" s="16" t="s">
        <v>156</v>
      </c>
      <c r="L33" s="16"/>
      <c r="M33" s="4" t="s">
        <v>142</v>
      </c>
      <c r="N33" s="16"/>
    </row>
    <row r="34" customFormat="false" ht="15" hidden="false" customHeight="false" outlineLevel="0" collapsed="false">
      <c r="A34" s="4" t="s">
        <v>157</v>
      </c>
      <c r="B34" s="4" t="s">
        <v>158</v>
      </c>
      <c r="C34" s="4" t="n">
        <v>3</v>
      </c>
      <c r="D34" s="17" t="n">
        <v>3</v>
      </c>
      <c r="E34" s="16" t="s">
        <v>137</v>
      </c>
      <c r="F34" s="5" t="n">
        <v>46538</v>
      </c>
      <c r="G34" s="5" t="n">
        <v>46540</v>
      </c>
      <c r="H34" s="6" t="n">
        <f aca="false">NETWORKDAYS(F34,G34,Tong_quan!$F$4:$F$40)</f>
        <v>3</v>
      </c>
      <c r="I34" s="16" t="s">
        <v>75</v>
      </c>
      <c r="J34" s="16" t="s">
        <v>141</v>
      </c>
      <c r="K34" s="16" t="s">
        <v>149</v>
      </c>
      <c r="L34" s="16"/>
      <c r="M34" s="4" t="s">
        <v>142</v>
      </c>
      <c r="N34" s="16"/>
    </row>
    <row r="35" customFormat="false" ht="15" hidden="false" customHeight="false" outlineLevel="0" collapsed="false">
      <c r="A35" s="4" t="s">
        <v>159</v>
      </c>
      <c r="B35" s="4" t="s">
        <v>160</v>
      </c>
      <c r="C35" s="4" t="n">
        <v>3</v>
      </c>
      <c r="D35" s="17" t="n">
        <v>5</v>
      </c>
      <c r="E35" s="16" t="s">
        <v>147</v>
      </c>
      <c r="F35" s="5" t="n">
        <v>46540</v>
      </c>
      <c r="G35" s="5" t="n">
        <v>46548</v>
      </c>
      <c r="H35" s="6" t="n">
        <f aca="false">NETWORKDAYS(F35,G35,Tong_quan!$F$4:$F$40)</f>
        <v>7</v>
      </c>
      <c r="I35" s="16" t="s">
        <v>75</v>
      </c>
      <c r="J35" s="16" t="s">
        <v>161</v>
      </c>
      <c r="K35" s="16" t="s">
        <v>162</v>
      </c>
      <c r="L35" s="16"/>
      <c r="M35" s="4" t="s">
        <v>142</v>
      </c>
      <c r="N35" s="16"/>
    </row>
    <row r="36" customFormat="false" ht="15" hidden="false" customHeight="false" outlineLevel="0" collapsed="false">
      <c r="A36" s="4" t="s">
        <v>163</v>
      </c>
      <c r="B36" s="4" t="s">
        <v>164</v>
      </c>
      <c r="C36" s="4" t="n">
        <v>3</v>
      </c>
      <c r="D36" s="17" t="n">
        <v>3</v>
      </c>
      <c r="E36" s="16" t="s">
        <v>165</v>
      </c>
      <c r="F36" s="5" t="n">
        <v>46566</v>
      </c>
      <c r="G36" s="5" t="n">
        <v>46568</v>
      </c>
      <c r="H36" s="6" t="n">
        <f aca="false">NETWORKDAYS(F36,G36,Tong_quan!$F$4:$F$40)</f>
        <v>3</v>
      </c>
      <c r="I36" s="16" t="s">
        <v>75</v>
      </c>
      <c r="J36" s="16" t="s">
        <v>166</v>
      </c>
      <c r="K36" s="16" t="s">
        <v>167</v>
      </c>
      <c r="L36" s="16"/>
      <c r="M36" s="4" t="s">
        <v>142</v>
      </c>
      <c r="N36" s="16"/>
    </row>
    <row r="37" customFormat="false" ht="15" hidden="false" customHeight="false" outlineLevel="0" collapsed="false">
      <c r="A37" s="4" t="s">
        <v>168</v>
      </c>
      <c r="B37" s="4" t="s">
        <v>169</v>
      </c>
      <c r="C37" s="4" t="n">
        <v>3</v>
      </c>
      <c r="D37" s="17" t="n">
        <v>3</v>
      </c>
      <c r="E37" s="16" t="s">
        <v>84</v>
      </c>
      <c r="F37" s="5" t="n">
        <v>46574</v>
      </c>
      <c r="G37" s="5" t="n">
        <v>46576</v>
      </c>
      <c r="H37" s="6" t="n">
        <f aca="false">NETWORKDAYS(F37,G37,Tong_quan!$F$4:$F$40)</f>
        <v>3</v>
      </c>
      <c r="I37" s="16" t="s">
        <v>75</v>
      </c>
      <c r="J37" s="16" t="s">
        <v>170</v>
      </c>
      <c r="K37" s="16" t="s">
        <v>171</v>
      </c>
      <c r="L37" s="16"/>
      <c r="M37" s="4" t="s">
        <v>142</v>
      </c>
      <c r="N37" s="16"/>
    </row>
    <row r="38" customFormat="false" ht="15" hidden="false" customHeight="false" outlineLevel="0" collapsed="false">
      <c r="A38" s="4" t="s">
        <v>172</v>
      </c>
      <c r="B38" s="4" t="s">
        <v>173</v>
      </c>
      <c r="C38" s="4" t="n">
        <v>3</v>
      </c>
      <c r="D38" s="17" t="n">
        <v>4</v>
      </c>
      <c r="E38" s="16" t="s">
        <v>174</v>
      </c>
      <c r="F38" s="5" t="n">
        <v>46545</v>
      </c>
      <c r="G38" s="5" t="n">
        <v>46554</v>
      </c>
      <c r="H38" s="6" t="n">
        <f aca="false">NETWORKDAYS(F38,G38,Tong_quan!$F$4:$F$40)</f>
        <v>8</v>
      </c>
      <c r="I38" s="16" t="s">
        <v>75</v>
      </c>
      <c r="J38" s="16" t="s">
        <v>155</v>
      </c>
      <c r="K38" s="16" t="s">
        <v>175</v>
      </c>
      <c r="L38" s="16"/>
      <c r="M38" s="4" t="s">
        <v>142</v>
      </c>
      <c r="N38" s="16"/>
    </row>
    <row r="39" customFormat="false" ht="15" hidden="false" customHeight="false" outlineLevel="0" collapsed="false">
      <c r="A39" s="4" t="s">
        <v>176</v>
      </c>
      <c r="B39" s="4" t="s">
        <v>177</v>
      </c>
      <c r="C39" s="4" t="n">
        <v>3</v>
      </c>
      <c r="D39" s="17" t="n">
        <v>3</v>
      </c>
      <c r="E39" s="16" t="s">
        <v>178</v>
      </c>
      <c r="F39" s="5" t="n">
        <v>46555</v>
      </c>
      <c r="G39" s="5" t="n">
        <v>46559</v>
      </c>
      <c r="H39" s="6" t="n">
        <f aca="false">NETWORKDAYS(F39,G39,Tong_quan!$F$4:$F$40)</f>
        <v>3</v>
      </c>
      <c r="I39" s="16" t="s">
        <v>75</v>
      </c>
      <c r="J39" s="16" t="s">
        <v>179</v>
      </c>
      <c r="K39" s="16" t="s">
        <v>180</v>
      </c>
      <c r="L39" s="16"/>
      <c r="M39" s="4" t="s">
        <v>142</v>
      </c>
      <c r="N39" s="16"/>
    </row>
    <row r="40" customFormat="false" ht="15" hidden="false" customHeight="false" outlineLevel="0" collapsed="false">
      <c r="A40" s="4" t="s">
        <v>181</v>
      </c>
      <c r="B40" s="4" t="s">
        <v>182</v>
      </c>
      <c r="C40" s="4" t="n">
        <v>3</v>
      </c>
      <c r="D40" s="17" t="n">
        <v>4</v>
      </c>
      <c r="E40" s="16" t="s">
        <v>115</v>
      </c>
      <c r="F40" s="5" t="n">
        <v>46590</v>
      </c>
      <c r="G40" s="5" t="n">
        <v>46595</v>
      </c>
      <c r="H40" s="6" t="n">
        <f aca="false">NETWORKDAYS(F40,G40,Tong_quan!$F$4:$F$40)</f>
        <v>4</v>
      </c>
      <c r="I40" s="16" t="s">
        <v>75</v>
      </c>
      <c r="J40" s="16" t="s">
        <v>183</v>
      </c>
      <c r="K40" s="16" t="s">
        <v>184</v>
      </c>
      <c r="L40" s="16"/>
      <c r="M40" s="4" t="s">
        <v>142</v>
      </c>
      <c r="N40" s="16"/>
    </row>
    <row r="41" customFormat="false" ht="15" hidden="false" customHeight="false" outlineLevel="0" collapsed="false">
      <c r="A41" s="4" t="s">
        <v>185</v>
      </c>
      <c r="B41" s="4" t="s">
        <v>186</v>
      </c>
      <c r="C41" s="4" t="n">
        <v>3</v>
      </c>
      <c r="D41" s="17" t="n">
        <v>4</v>
      </c>
      <c r="E41" s="16" t="s">
        <v>187</v>
      </c>
      <c r="F41" s="5" t="n">
        <v>46584</v>
      </c>
      <c r="G41" s="5" t="n">
        <v>46595</v>
      </c>
      <c r="H41" s="6" t="n">
        <f aca="false">NETWORKDAYS(F41,G41,Tong_quan!$F$4:$F$40)</f>
        <v>8</v>
      </c>
      <c r="I41" s="16" t="s">
        <v>75</v>
      </c>
      <c r="J41" s="16" t="s">
        <v>183</v>
      </c>
      <c r="K41" s="16" t="s">
        <v>188</v>
      </c>
      <c r="L41" s="16" t="s">
        <v>189</v>
      </c>
      <c r="M41" s="4" t="s">
        <v>142</v>
      </c>
      <c r="N41" s="16" t="s">
        <v>190</v>
      </c>
    </row>
    <row r="42" customFormat="false" ht="15" hidden="false" customHeight="false" outlineLevel="0" collapsed="false">
      <c r="A42" s="4" t="s">
        <v>191</v>
      </c>
      <c r="B42" s="4" t="s">
        <v>192</v>
      </c>
      <c r="C42" s="4" t="n">
        <v>3</v>
      </c>
      <c r="D42" s="17" t="n">
        <v>6</v>
      </c>
      <c r="E42" s="16" t="s">
        <v>137</v>
      </c>
      <c r="F42" s="5" t="n">
        <v>46584</v>
      </c>
      <c r="G42" s="5" t="n">
        <v>46591</v>
      </c>
      <c r="H42" s="6" t="n">
        <f aca="false">NETWORKDAYS(F42,G42,Tong_quan!$F$4:$F$40)</f>
        <v>6</v>
      </c>
      <c r="I42" s="16" t="s">
        <v>75</v>
      </c>
      <c r="J42" s="16" t="s">
        <v>183</v>
      </c>
      <c r="K42" s="16" t="s">
        <v>72</v>
      </c>
      <c r="L42" s="16"/>
      <c r="M42" s="4" t="s">
        <v>142</v>
      </c>
      <c r="N42" s="16" t="s">
        <v>193</v>
      </c>
    </row>
    <row r="43" customFormat="false" ht="15" hidden="false" customHeight="false" outlineLevel="0" collapsed="false">
      <c r="A43" s="3" t="s">
        <v>194</v>
      </c>
      <c r="B43" s="3" t="s">
        <v>195</v>
      </c>
      <c r="C43" s="4" t="n">
        <v>2</v>
      </c>
      <c r="D43" s="14" t="n">
        <f aca="false">SUMIFS(D:D,M:M,A43)</f>
        <v>12</v>
      </c>
      <c r="E43" s="4"/>
      <c r="F43" s="15" t="n">
        <f aca="false">_xlfn.MINIFS(F:F,M:M,A43)</f>
        <v>46477</v>
      </c>
      <c r="G43" s="15" t="n">
        <f aca="false">_xlfn.MAXIFS(G:G,M:M,A43)</f>
        <v>46597</v>
      </c>
      <c r="H43" s="6" t="n">
        <f aca="false">NETWORKDAYS(F43,G43,Tong_quan!$F$4:$F$40)</f>
        <v>84</v>
      </c>
      <c r="I43" s="16" t="s">
        <v>75</v>
      </c>
      <c r="J43" s="16" t="s">
        <v>196</v>
      </c>
      <c r="K43" s="4"/>
      <c r="L43" s="4"/>
      <c r="M43" s="4" t="s">
        <v>52</v>
      </c>
      <c r="N43" s="16"/>
    </row>
    <row r="44" customFormat="false" ht="15" hidden="false" customHeight="false" outlineLevel="0" collapsed="false">
      <c r="A44" s="4" t="s">
        <v>197</v>
      </c>
      <c r="B44" s="4" t="s">
        <v>198</v>
      </c>
      <c r="C44" s="4" t="n">
        <v>3</v>
      </c>
      <c r="D44" s="17" t="n">
        <v>6</v>
      </c>
      <c r="E44" s="16" t="s">
        <v>103</v>
      </c>
      <c r="F44" s="5" t="n">
        <v>46477</v>
      </c>
      <c r="G44" s="5" t="n">
        <v>46485</v>
      </c>
      <c r="H44" s="6" t="n">
        <f aca="false">NETWORKDAYS(F44,G44,Tong_quan!$F$4:$F$40)</f>
        <v>7</v>
      </c>
      <c r="I44" s="16" t="s">
        <v>75</v>
      </c>
      <c r="J44" s="16" t="s">
        <v>199</v>
      </c>
      <c r="K44" s="16"/>
      <c r="L44" s="16"/>
      <c r="M44" s="4" t="s">
        <v>194</v>
      </c>
      <c r="N44" s="16"/>
    </row>
    <row r="45" customFormat="false" ht="15" hidden="false" customHeight="false" outlineLevel="0" collapsed="false">
      <c r="A45" s="4" t="s">
        <v>200</v>
      </c>
      <c r="B45" s="4" t="s">
        <v>201</v>
      </c>
      <c r="C45" s="4" t="n">
        <v>3</v>
      </c>
      <c r="D45" s="17" t="n">
        <v>2</v>
      </c>
      <c r="E45" s="16" t="s">
        <v>202</v>
      </c>
      <c r="F45" s="5" t="n">
        <v>46596</v>
      </c>
      <c r="G45" s="5" t="n">
        <v>46596</v>
      </c>
      <c r="H45" s="6" t="n">
        <f aca="false">NETWORKDAYS(F45,G45,Tong_quan!$F$4:$F$40)</f>
        <v>1</v>
      </c>
      <c r="I45" s="16" t="s">
        <v>75</v>
      </c>
      <c r="J45" s="16" t="s">
        <v>183</v>
      </c>
      <c r="K45" s="16" t="s">
        <v>203</v>
      </c>
      <c r="L45" s="16" t="s">
        <v>189</v>
      </c>
      <c r="M45" s="4" t="s">
        <v>194</v>
      </c>
      <c r="N45" s="16" t="s">
        <v>204</v>
      </c>
    </row>
    <row r="46" customFormat="false" ht="15" hidden="false" customHeight="false" outlineLevel="0" collapsed="false">
      <c r="A46" s="4" t="s">
        <v>205</v>
      </c>
      <c r="B46" s="4" t="s">
        <v>206</v>
      </c>
      <c r="C46" s="4" t="n">
        <v>3</v>
      </c>
      <c r="D46" s="17" t="n">
        <v>4</v>
      </c>
      <c r="E46" s="16" t="s">
        <v>125</v>
      </c>
      <c r="F46" s="5" t="n">
        <v>46596</v>
      </c>
      <c r="G46" s="5" t="n">
        <v>46597</v>
      </c>
      <c r="H46" s="6" t="n">
        <f aca="false">NETWORKDAYS(F46,G46,Tong_quan!$F$4:$F$40)</f>
        <v>2</v>
      </c>
      <c r="I46" s="16" t="s">
        <v>75</v>
      </c>
      <c r="J46" s="16" t="s">
        <v>183</v>
      </c>
      <c r="K46" s="16" t="s">
        <v>207</v>
      </c>
      <c r="L46" s="16" t="s">
        <v>189</v>
      </c>
      <c r="M46" s="4" t="s">
        <v>194</v>
      </c>
      <c r="N46" s="16"/>
    </row>
    <row r="47" customFormat="false" ht="15" hidden="false" customHeight="false" outlineLevel="0" collapsed="false">
      <c r="A47" s="3" t="s">
        <v>208</v>
      </c>
      <c r="B47" s="3" t="s">
        <v>209</v>
      </c>
      <c r="C47" s="4" t="n">
        <v>1</v>
      </c>
      <c r="D47" s="14" t="n">
        <f aca="false">SUMIFS(D:D,M:M,A47)</f>
        <v>147.5</v>
      </c>
      <c r="E47" s="4"/>
      <c r="F47" s="15" t="n">
        <f aca="false">_xlfn.MINIFS(F:F,M:M,A47)</f>
        <v>46464</v>
      </c>
      <c r="G47" s="15" t="n">
        <f aca="false">_xlfn.MAXIFS(G:G,M:M,A47)</f>
        <v>46597</v>
      </c>
      <c r="H47" s="6" t="n">
        <f aca="false">NETWORKDAYS(F47,G47,Tong_quan!$F$4:$F$40)</f>
        <v>93</v>
      </c>
      <c r="I47" s="16" t="s">
        <v>210</v>
      </c>
      <c r="J47" s="16"/>
      <c r="K47" s="4"/>
      <c r="L47" s="4"/>
      <c r="M47" s="4"/>
      <c r="N47" s="16"/>
    </row>
    <row r="48" customFormat="false" ht="15" hidden="false" customHeight="false" outlineLevel="0" collapsed="false">
      <c r="A48" s="3" t="s">
        <v>211</v>
      </c>
      <c r="B48" s="3" t="s">
        <v>212</v>
      </c>
      <c r="C48" s="4" t="n">
        <v>2</v>
      </c>
      <c r="D48" s="14" t="n">
        <f aca="false">SUMIFS(D:D,M:M,A48)</f>
        <v>13.5</v>
      </c>
      <c r="E48" s="4"/>
      <c r="F48" s="15" t="n">
        <f aca="false">_xlfn.MINIFS(F:F,M:M,A48)</f>
        <v>46464</v>
      </c>
      <c r="G48" s="15" t="n">
        <f aca="false">_xlfn.MAXIFS(G:G,M:M,A48)</f>
        <v>46597</v>
      </c>
      <c r="H48" s="6" t="n">
        <f aca="false">NETWORKDAYS(F48,G48,Tong_quan!$F$4:$F$40)</f>
        <v>93</v>
      </c>
      <c r="I48" s="16" t="s">
        <v>213</v>
      </c>
      <c r="J48" s="16"/>
      <c r="K48" s="4"/>
      <c r="L48" s="4"/>
      <c r="M48" s="4" t="s">
        <v>208</v>
      </c>
      <c r="N48" s="16"/>
    </row>
    <row r="49" customFormat="false" ht="15" hidden="false" customHeight="false" outlineLevel="0" collapsed="false">
      <c r="A49" s="4" t="s">
        <v>214</v>
      </c>
      <c r="B49" s="4" t="s">
        <v>215</v>
      </c>
      <c r="C49" s="4" t="n">
        <v>3</v>
      </c>
      <c r="D49" s="17" t="n">
        <v>3</v>
      </c>
      <c r="E49" s="16" t="s">
        <v>187</v>
      </c>
      <c r="F49" s="5" t="n">
        <v>46482</v>
      </c>
      <c r="G49" s="5" t="n">
        <v>46485</v>
      </c>
      <c r="H49" s="6" t="n">
        <f aca="false">NETWORKDAYS(F49,G49,Tong_quan!$F$4:$F$40)</f>
        <v>4</v>
      </c>
      <c r="I49" s="16" t="s">
        <v>61</v>
      </c>
      <c r="J49" s="16"/>
      <c r="K49" s="16" t="s">
        <v>58</v>
      </c>
      <c r="L49" s="16"/>
      <c r="M49" s="4" t="s">
        <v>211</v>
      </c>
      <c r="N49" s="16"/>
    </row>
    <row r="50" customFormat="false" ht="15" hidden="false" customHeight="false" outlineLevel="0" collapsed="false">
      <c r="A50" s="4" t="s">
        <v>216</v>
      </c>
      <c r="B50" s="4" t="s">
        <v>217</v>
      </c>
      <c r="C50" s="4" t="n">
        <v>3</v>
      </c>
      <c r="D50" s="17" t="n">
        <v>4</v>
      </c>
      <c r="E50" s="16" t="s">
        <v>64</v>
      </c>
      <c r="F50" s="5" t="n">
        <v>46464</v>
      </c>
      <c r="G50" s="5" t="n">
        <v>46597</v>
      </c>
      <c r="H50" s="6" t="n">
        <f aca="false">NETWORKDAYS(F50,G50,Tong_quan!$F$4:$F$40)</f>
        <v>93</v>
      </c>
      <c r="I50" s="16" t="s">
        <v>65</v>
      </c>
      <c r="J50" s="16"/>
      <c r="K50" s="16"/>
      <c r="L50" s="16"/>
      <c r="M50" s="4" t="s">
        <v>211</v>
      </c>
      <c r="N50" s="16"/>
    </row>
    <row r="51" customFormat="false" ht="15" hidden="false" customHeight="false" outlineLevel="0" collapsed="false">
      <c r="A51" s="4" t="s">
        <v>218</v>
      </c>
      <c r="B51" s="4" t="s">
        <v>219</v>
      </c>
      <c r="C51" s="4" t="n">
        <v>3</v>
      </c>
      <c r="D51" s="17" t="n">
        <v>3</v>
      </c>
      <c r="E51" s="16" t="s">
        <v>64</v>
      </c>
      <c r="F51" s="5" t="n">
        <v>46464</v>
      </c>
      <c r="G51" s="5" t="n">
        <v>46597</v>
      </c>
      <c r="H51" s="6" t="n">
        <f aca="false">NETWORKDAYS(F51,G51,Tong_quan!$F$4:$F$40)</f>
        <v>93</v>
      </c>
      <c r="I51" s="16" t="s">
        <v>65</v>
      </c>
      <c r="J51" s="16"/>
      <c r="K51" s="16"/>
      <c r="L51" s="16"/>
      <c r="M51" s="4" t="s">
        <v>211</v>
      </c>
      <c r="N51" s="16"/>
    </row>
    <row r="52" customFormat="false" ht="15" hidden="false" customHeight="false" outlineLevel="0" collapsed="false">
      <c r="A52" s="4" t="s">
        <v>220</v>
      </c>
      <c r="B52" s="4" t="s">
        <v>221</v>
      </c>
      <c r="C52" s="4" t="n">
        <v>3</v>
      </c>
      <c r="D52" s="17" t="n">
        <v>3.5</v>
      </c>
      <c r="E52" s="16" t="s">
        <v>64</v>
      </c>
      <c r="F52" s="5" t="n">
        <v>46464</v>
      </c>
      <c r="G52" s="5" t="n">
        <v>46597</v>
      </c>
      <c r="H52" s="6" t="n">
        <f aca="false">NETWORKDAYS(F52,G52,Tong_quan!$F$4:$F$40)</f>
        <v>93</v>
      </c>
      <c r="I52" s="16" t="s">
        <v>65</v>
      </c>
      <c r="J52" s="16"/>
      <c r="K52" s="16"/>
      <c r="L52" s="16"/>
      <c r="M52" s="4" t="s">
        <v>211</v>
      </c>
      <c r="N52" s="16"/>
    </row>
    <row r="53" customFormat="false" ht="15" hidden="false" customHeight="false" outlineLevel="0" collapsed="false">
      <c r="A53" s="3" t="s">
        <v>222</v>
      </c>
      <c r="B53" s="3" t="s">
        <v>223</v>
      </c>
      <c r="C53" s="4" t="n">
        <v>2</v>
      </c>
      <c r="D53" s="14" t="n">
        <f aca="false">SUMIFS(D:D,M:M,A53)</f>
        <v>28</v>
      </c>
      <c r="E53" s="4"/>
      <c r="F53" s="15" t="n">
        <f aca="false">_xlfn.MINIFS(F:F,M:M,A53)</f>
        <v>46464</v>
      </c>
      <c r="G53" s="15" t="n">
        <f aca="false">_xlfn.MAXIFS(G:G,M:M,A53)</f>
        <v>46513</v>
      </c>
      <c r="H53" s="6" t="n">
        <f aca="false">NETWORKDAYS(F53,G53,Tong_quan!$F$4:$F$40)</f>
        <v>33</v>
      </c>
      <c r="I53" s="16" t="s">
        <v>75</v>
      </c>
      <c r="J53" s="16" t="s">
        <v>224</v>
      </c>
      <c r="K53" s="4"/>
      <c r="L53" s="4"/>
      <c r="M53" s="4" t="s">
        <v>208</v>
      </c>
      <c r="N53" s="16"/>
    </row>
    <row r="54" customFormat="false" ht="15" hidden="false" customHeight="false" outlineLevel="0" collapsed="false">
      <c r="A54" s="4" t="s">
        <v>225</v>
      </c>
      <c r="B54" s="4" t="s">
        <v>226</v>
      </c>
      <c r="C54" s="4" t="n">
        <v>3</v>
      </c>
      <c r="D54" s="17" t="n">
        <v>3</v>
      </c>
      <c r="E54" s="16" t="s">
        <v>84</v>
      </c>
      <c r="F54" s="5" t="n">
        <v>46475</v>
      </c>
      <c r="G54" s="5" t="n">
        <v>46477</v>
      </c>
      <c r="H54" s="6" t="n">
        <f aca="false">NETWORKDAYS(F54,G54,Tong_quan!$F$4:$F$40)</f>
        <v>3</v>
      </c>
      <c r="I54" s="16" t="s">
        <v>75</v>
      </c>
      <c r="J54" s="16" t="s">
        <v>80</v>
      </c>
      <c r="K54" s="16" t="s">
        <v>81</v>
      </c>
      <c r="L54" s="16"/>
      <c r="M54" s="4" t="s">
        <v>222</v>
      </c>
      <c r="N54" s="16"/>
    </row>
    <row r="55" customFormat="false" ht="15" hidden="false" customHeight="false" outlineLevel="0" collapsed="false">
      <c r="A55" s="4" t="s">
        <v>227</v>
      </c>
      <c r="B55" s="4" t="s">
        <v>228</v>
      </c>
      <c r="C55" s="4" t="n">
        <v>3</v>
      </c>
      <c r="D55" s="17" t="n">
        <v>3</v>
      </c>
      <c r="E55" s="16" t="s">
        <v>84</v>
      </c>
      <c r="F55" s="5" t="n">
        <v>46504</v>
      </c>
      <c r="G55" s="5" t="n">
        <v>46506</v>
      </c>
      <c r="H55" s="6" t="n">
        <f aca="false">NETWORKDAYS(F55,G55,Tong_quan!$F$4:$F$40)</f>
        <v>3</v>
      </c>
      <c r="I55" s="16" t="s">
        <v>75</v>
      </c>
      <c r="J55" s="16" t="s">
        <v>99</v>
      </c>
      <c r="K55" s="16" t="s">
        <v>229</v>
      </c>
      <c r="L55" s="16"/>
      <c r="M55" s="4" t="s">
        <v>222</v>
      </c>
      <c r="N55" s="16"/>
    </row>
    <row r="56" customFormat="false" ht="15" hidden="false" customHeight="false" outlineLevel="0" collapsed="false">
      <c r="A56" s="4" t="s">
        <v>230</v>
      </c>
      <c r="B56" s="4" t="s">
        <v>231</v>
      </c>
      <c r="C56" s="4" t="n">
        <v>3</v>
      </c>
      <c r="D56" s="17" t="n">
        <v>3</v>
      </c>
      <c r="E56" s="16" t="s">
        <v>92</v>
      </c>
      <c r="F56" s="5" t="n">
        <v>46464</v>
      </c>
      <c r="G56" s="5" t="n">
        <v>46469</v>
      </c>
      <c r="H56" s="6" t="n">
        <f aca="false">NETWORKDAYS(F56,G56,Tong_quan!$F$4:$F$40)</f>
        <v>4</v>
      </c>
      <c r="I56" s="16" t="s">
        <v>75</v>
      </c>
      <c r="J56" s="16" t="s">
        <v>80</v>
      </c>
      <c r="K56" s="16"/>
      <c r="L56" s="16"/>
      <c r="M56" s="4" t="s">
        <v>222</v>
      </c>
      <c r="N56" s="16"/>
    </row>
    <row r="57" customFormat="false" ht="15" hidden="false" customHeight="false" outlineLevel="0" collapsed="false">
      <c r="A57" s="4" t="s">
        <v>232</v>
      </c>
      <c r="B57" s="4" t="s">
        <v>233</v>
      </c>
      <c r="C57" s="4" t="n">
        <v>3</v>
      </c>
      <c r="D57" s="17" t="n">
        <v>3</v>
      </c>
      <c r="E57" s="16" t="s">
        <v>137</v>
      </c>
      <c r="F57" s="5" t="n">
        <v>46478</v>
      </c>
      <c r="G57" s="5" t="n">
        <v>46482</v>
      </c>
      <c r="H57" s="6" t="n">
        <f aca="false">NETWORKDAYS(F57,G57,Tong_quan!$F$4:$F$40)</f>
        <v>3</v>
      </c>
      <c r="I57" s="16" t="s">
        <v>75</v>
      </c>
      <c r="J57" s="16" t="s">
        <v>85</v>
      </c>
      <c r="K57" s="16" t="s">
        <v>234</v>
      </c>
      <c r="L57" s="16"/>
      <c r="M57" s="4" t="s">
        <v>222</v>
      </c>
      <c r="N57" s="16"/>
    </row>
    <row r="58" customFormat="false" ht="15" hidden="false" customHeight="false" outlineLevel="0" collapsed="false">
      <c r="A58" s="4" t="s">
        <v>235</v>
      </c>
      <c r="B58" s="4" t="s">
        <v>236</v>
      </c>
      <c r="C58" s="4" t="n">
        <v>3</v>
      </c>
      <c r="D58" s="17" t="n">
        <v>5</v>
      </c>
      <c r="E58" s="16" t="s">
        <v>98</v>
      </c>
      <c r="F58" s="5" t="n">
        <v>46483</v>
      </c>
      <c r="G58" s="5" t="n">
        <v>46489</v>
      </c>
      <c r="H58" s="6" t="n">
        <f aca="false">NETWORKDAYS(F58,G58,Tong_quan!$F$4:$F$40)</f>
        <v>5</v>
      </c>
      <c r="I58" s="16" t="s">
        <v>75</v>
      </c>
      <c r="J58" s="16" t="s">
        <v>85</v>
      </c>
      <c r="K58" s="16" t="s">
        <v>225</v>
      </c>
      <c r="L58" s="16"/>
      <c r="M58" s="4" t="s">
        <v>222</v>
      </c>
      <c r="N58" s="16"/>
    </row>
    <row r="59" customFormat="false" ht="15" hidden="false" customHeight="false" outlineLevel="0" collapsed="false">
      <c r="A59" s="4" t="s">
        <v>237</v>
      </c>
      <c r="B59" s="4" t="s">
        <v>238</v>
      </c>
      <c r="C59" s="4" t="n">
        <v>3</v>
      </c>
      <c r="D59" s="17" t="n">
        <v>3</v>
      </c>
      <c r="E59" s="16" t="s">
        <v>84</v>
      </c>
      <c r="F59" s="5" t="n">
        <v>46498</v>
      </c>
      <c r="G59" s="5" t="n">
        <v>46500</v>
      </c>
      <c r="H59" s="6" t="n">
        <f aca="false">NETWORKDAYS(F59,G59,Tong_quan!$F$4:$F$40)</f>
        <v>3</v>
      </c>
      <c r="I59" s="16" t="s">
        <v>75</v>
      </c>
      <c r="J59" s="16" t="s">
        <v>99</v>
      </c>
      <c r="K59" s="16" t="s">
        <v>225</v>
      </c>
      <c r="L59" s="16"/>
      <c r="M59" s="4" t="s">
        <v>222</v>
      </c>
      <c r="N59" s="16"/>
    </row>
    <row r="60" customFormat="false" ht="15" hidden="false" customHeight="false" outlineLevel="0" collapsed="false">
      <c r="A60" s="4" t="s">
        <v>239</v>
      </c>
      <c r="B60" s="4" t="s">
        <v>240</v>
      </c>
      <c r="C60" s="4" t="n">
        <v>3</v>
      </c>
      <c r="D60" s="17" t="n">
        <v>5</v>
      </c>
      <c r="E60" s="16" t="s">
        <v>165</v>
      </c>
      <c r="F60" s="5" t="n">
        <v>46491</v>
      </c>
      <c r="G60" s="5" t="n">
        <v>46498</v>
      </c>
      <c r="H60" s="6" t="n">
        <f aca="false">NETWORKDAYS(F60,G60,Tong_quan!$F$4:$F$40)</f>
        <v>5</v>
      </c>
      <c r="I60" s="16" t="s">
        <v>75</v>
      </c>
      <c r="J60" s="16" t="s">
        <v>104</v>
      </c>
      <c r="K60" s="16" t="s">
        <v>241</v>
      </c>
      <c r="L60" s="16"/>
      <c r="M60" s="4" t="s">
        <v>222</v>
      </c>
      <c r="N60" s="16"/>
    </row>
    <row r="61" customFormat="false" ht="15" hidden="false" customHeight="false" outlineLevel="0" collapsed="false">
      <c r="A61" s="4" t="s">
        <v>242</v>
      </c>
      <c r="B61" s="4" t="s">
        <v>243</v>
      </c>
      <c r="C61" s="4" t="n">
        <v>3</v>
      </c>
      <c r="D61" s="17" t="n">
        <v>3</v>
      </c>
      <c r="E61" s="16" t="s">
        <v>165</v>
      </c>
      <c r="F61" s="5" t="n">
        <v>46506</v>
      </c>
      <c r="G61" s="5" t="n">
        <v>46513</v>
      </c>
      <c r="H61" s="6" t="n">
        <f aca="false">NETWORKDAYS(F61,G61,Tong_quan!$F$4:$F$40)</f>
        <v>4</v>
      </c>
      <c r="I61" s="16" t="s">
        <v>75</v>
      </c>
      <c r="J61" s="16" t="s">
        <v>99</v>
      </c>
      <c r="K61" s="16" t="s">
        <v>244</v>
      </c>
      <c r="L61" s="16"/>
      <c r="M61" s="4" t="s">
        <v>222</v>
      </c>
      <c r="N61" s="16"/>
    </row>
    <row r="62" customFormat="false" ht="15" hidden="false" customHeight="false" outlineLevel="0" collapsed="false">
      <c r="A62" s="3" t="s">
        <v>245</v>
      </c>
      <c r="B62" s="3" t="s">
        <v>246</v>
      </c>
      <c r="C62" s="4" t="n">
        <v>2</v>
      </c>
      <c r="D62" s="14" t="n">
        <f aca="false">SUMIFS(D:D,M:M,A62)</f>
        <v>35</v>
      </c>
      <c r="E62" s="4"/>
      <c r="F62" s="15" t="n">
        <f aca="false">_xlfn.MINIFS(F:F,M:M,A62)</f>
        <v>46499</v>
      </c>
      <c r="G62" s="15" t="n">
        <f aca="false">_xlfn.MAXIFS(G:G,M:M,A62)</f>
        <v>46534</v>
      </c>
      <c r="H62" s="6" t="n">
        <f aca="false">NETWORKDAYS(F62,G62,Tong_quan!$F$4:$F$40)</f>
        <v>24</v>
      </c>
      <c r="I62" s="16" t="s">
        <v>75</v>
      </c>
      <c r="J62" s="16" t="s">
        <v>112</v>
      </c>
      <c r="K62" s="4"/>
      <c r="L62" s="4"/>
      <c r="M62" s="4" t="s">
        <v>208</v>
      </c>
      <c r="N62" s="16"/>
    </row>
    <row r="63" customFormat="false" ht="15" hidden="false" customHeight="false" outlineLevel="0" collapsed="false">
      <c r="A63" s="4" t="s">
        <v>247</v>
      </c>
      <c r="B63" s="4" t="s">
        <v>248</v>
      </c>
      <c r="C63" s="4" t="n">
        <v>3</v>
      </c>
      <c r="D63" s="17" t="n">
        <v>5</v>
      </c>
      <c r="E63" s="16" t="s">
        <v>249</v>
      </c>
      <c r="F63" s="5" t="n">
        <v>46505</v>
      </c>
      <c r="G63" s="5" t="n">
        <v>46513</v>
      </c>
      <c r="H63" s="6" t="n">
        <f aca="false">NETWORKDAYS(F63,G63,Tong_quan!$F$4:$F$40)</f>
        <v>5</v>
      </c>
      <c r="I63" s="16" t="s">
        <v>75</v>
      </c>
      <c r="J63" s="16" t="s">
        <v>99</v>
      </c>
      <c r="K63" s="16" t="s">
        <v>250</v>
      </c>
      <c r="L63" s="16"/>
      <c r="M63" s="4" t="s">
        <v>245</v>
      </c>
      <c r="N63" s="16"/>
    </row>
    <row r="64" customFormat="false" ht="15" hidden="false" customHeight="false" outlineLevel="0" collapsed="false">
      <c r="A64" s="4" t="s">
        <v>251</v>
      </c>
      <c r="B64" s="4" t="s">
        <v>252</v>
      </c>
      <c r="C64" s="4" t="n">
        <v>3</v>
      </c>
      <c r="D64" s="17" t="n">
        <v>6</v>
      </c>
      <c r="E64" s="16" t="s">
        <v>103</v>
      </c>
      <c r="F64" s="5" t="n">
        <v>46499</v>
      </c>
      <c r="G64" s="5" t="n">
        <v>46506</v>
      </c>
      <c r="H64" s="6" t="n">
        <f aca="false">NETWORKDAYS(F64,G64,Tong_quan!$F$4:$F$40)</f>
        <v>6</v>
      </c>
      <c r="I64" s="16" t="s">
        <v>75</v>
      </c>
      <c r="J64" s="16" t="s">
        <v>99</v>
      </c>
      <c r="K64" s="16" t="s">
        <v>253</v>
      </c>
      <c r="L64" s="16"/>
      <c r="M64" s="4" t="s">
        <v>245</v>
      </c>
      <c r="N64" s="16"/>
    </row>
    <row r="65" customFormat="false" ht="15" hidden="false" customHeight="false" outlineLevel="0" collapsed="false">
      <c r="A65" s="4" t="s">
        <v>254</v>
      </c>
      <c r="B65" s="4" t="s">
        <v>255</v>
      </c>
      <c r="C65" s="4" t="n">
        <v>3</v>
      </c>
      <c r="D65" s="17" t="n">
        <v>4</v>
      </c>
      <c r="E65" s="16" t="s">
        <v>165</v>
      </c>
      <c r="F65" s="5" t="n">
        <v>46500</v>
      </c>
      <c r="G65" s="5" t="n">
        <v>46505</v>
      </c>
      <c r="H65" s="6" t="n">
        <f aca="false">NETWORKDAYS(F65,G65,Tong_quan!$F$4:$F$40)</f>
        <v>4</v>
      </c>
      <c r="I65" s="16" t="s">
        <v>75</v>
      </c>
      <c r="J65" s="16" t="s">
        <v>99</v>
      </c>
      <c r="K65" s="16" t="s">
        <v>250</v>
      </c>
      <c r="L65" s="16"/>
      <c r="M65" s="4" t="s">
        <v>245</v>
      </c>
      <c r="N65" s="16"/>
    </row>
    <row r="66" customFormat="false" ht="15" hidden="false" customHeight="false" outlineLevel="0" collapsed="false">
      <c r="A66" s="4" t="s">
        <v>256</v>
      </c>
      <c r="B66" s="4" t="s">
        <v>257</v>
      </c>
      <c r="C66" s="4" t="n">
        <v>3</v>
      </c>
      <c r="D66" s="17" t="n">
        <v>5</v>
      </c>
      <c r="E66" s="16" t="s">
        <v>92</v>
      </c>
      <c r="F66" s="5" t="n">
        <v>46524</v>
      </c>
      <c r="G66" s="5" t="n">
        <v>46534</v>
      </c>
      <c r="H66" s="6" t="n">
        <f aca="false">NETWORKDAYS(F66,G66,Tong_quan!$F$4:$F$40)</f>
        <v>9</v>
      </c>
      <c r="I66" s="16" t="s">
        <v>75</v>
      </c>
      <c r="J66" s="16" t="s">
        <v>126</v>
      </c>
      <c r="K66" s="16" t="s">
        <v>258</v>
      </c>
      <c r="L66" s="16"/>
      <c r="M66" s="4" t="s">
        <v>245</v>
      </c>
      <c r="N66" s="16"/>
    </row>
    <row r="67" customFormat="false" ht="15" hidden="false" customHeight="false" outlineLevel="0" collapsed="false">
      <c r="A67" s="4" t="s">
        <v>259</v>
      </c>
      <c r="B67" s="4" t="s">
        <v>260</v>
      </c>
      <c r="C67" s="4" t="n">
        <v>3</v>
      </c>
      <c r="D67" s="17" t="n">
        <v>4</v>
      </c>
      <c r="E67" s="16" t="s">
        <v>115</v>
      </c>
      <c r="F67" s="5" t="n">
        <v>46527</v>
      </c>
      <c r="G67" s="5" t="n">
        <v>46532</v>
      </c>
      <c r="H67" s="6" t="n">
        <f aca="false">NETWORKDAYS(F67,G67,Tong_quan!$F$4:$F$40)</f>
        <v>4</v>
      </c>
      <c r="I67" s="16" t="s">
        <v>75</v>
      </c>
      <c r="J67" s="16" t="s">
        <v>126</v>
      </c>
      <c r="K67" s="16" t="s">
        <v>258</v>
      </c>
      <c r="L67" s="16"/>
      <c r="M67" s="4" t="s">
        <v>245</v>
      </c>
      <c r="N67" s="16"/>
    </row>
    <row r="68" customFormat="false" ht="15" hidden="false" customHeight="false" outlineLevel="0" collapsed="false">
      <c r="A68" s="4" t="s">
        <v>261</v>
      </c>
      <c r="B68" s="4" t="s">
        <v>262</v>
      </c>
      <c r="C68" s="4" t="n">
        <v>3</v>
      </c>
      <c r="D68" s="17" t="n">
        <v>6</v>
      </c>
      <c r="E68" s="16" t="s">
        <v>137</v>
      </c>
      <c r="F68" s="5" t="n">
        <v>46499</v>
      </c>
      <c r="G68" s="5" t="n">
        <v>46506</v>
      </c>
      <c r="H68" s="6" t="n">
        <f aca="false">NETWORKDAYS(F68,G68,Tong_quan!$F$4:$F$40)</f>
        <v>6</v>
      </c>
      <c r="I68" s="16" t="s">
        <v>75</v>
      </c>
      <c r="J68" s="16" t="s">
        <v>99</v>
      </c>
      <c r="K68" s="16" t="s">
        <v>263</v>
      </c>
      <c r="L68" s="16"/>
      <c r="M68" s="4" t="s">
        <v>245</v>
      </c>
      <c r="N68" s="16"/>
    </row>
    <row r="69" customFormat="false" ht="15" hidden="false" customHeight="false" outlineLevel="0" collapsed="false">
      <c r="A69" s="4" t="s">
        <v>264</v>
      </c>
      <c r="B69" s="4" t="s">
        <v>265</v>
      </c>
      <c r="C69" s="4" t="n">
        <v>3</v>
      </c>
      <c r="D69" s="17" t="n">
        <v>5</v>
      </c>
      <c r="E69" s="16" t="s">
        <v>266</v>
      </c>
      <c r="F69" s="5" t="n">
        <v>46525</v>
      </c>
      <c r="G69" s="5" t="n">
        <v>46534</v>
      </c>
      <c r="H69" s="6" t="n">
        <f aca="false">NETWORKDAYS(F69,G69,Tong_quan!$F$4:$F$40)</f>
        <v>8</v>
      </c>
      <c r="I69" s="16" t="s">
        <v>75</v>
      </c>
      <c r="J69" s="16" t="s">
        <v>126</v>
      </c>
      <c r="K69" s="16" t="s">
        <v>267</v>
      </c>
      <c r="L69" s="16"/>
      <c r="M69" s="4" t="s">
        <v>245</v>
      </c>
      <c r="N69" s="16"/>
    </row>
    <row r="70" customFormat="false" ht="15" hidden="false" customHeight="false" outlineLevel="0" collapsed="false">
      <c r="A70" s="3" t="s">
        <v>268</v>
      </c>
      <c r="B70" s="3" t="s">
        <v>269</v>
      </c>
      <c r="C70" s="4" t="n">
        <v>2</v>
      </c>
      <c r="D70" s="14" t="n">
        <f aca="false">SUMIFS(D:D,M:M,A70)</f>
        <v>60</v>
      </c>
      <c r="E70" s="4"/>
      <c r="F70" s="15" t="n">
        <f aca="false">_xlfn.MINIFS(F:F,M:M,A70)</f>
        <v>46503</v>
      </c>
      <c r="G70" s="15" t="n">
        <f aca="false">_xlfn.MAXIFS(G:G,M:M,A70)</f>
        <v>46595</v>
      </c>
      <c r="H70" s="6" t="n">
        <f aca="false">NETWORKDAYS(F70,G70,Tong_quan!$F$4:$F$40)</f>
        <v>65</v>
      </c>
      <c r="I70" s="16" t="s">
        <v>75</v>
      </c>
      <c r="J70" s="16" t="s">
        <v>270</v>
      </c>
      <c r="K70" s="4"/>
      <c r="L70" s="4"/>
      <c r="M70" s="4" t="s">
        <v>208</v>
      </c>
      <c r="N70" s="16"/>
    </row>
    <row r="71" customFormat="false" ht="15" hidden="false" customHeight="false" outlineLevel="0" collapsed="false">
      <c r="A71" s="4" t="s">
        <v>271</v>
      </c>
      <c r="B71" s="4" t="s">
        <v>272</v>
      </c>
      <c r="C71" s="4" t="n">
        <v>3</v>
      </c>
      <c r="D71" s="17" t="n">
        <v>6</v>
      </c>
      <c r="E71" s="16" t="s">
        <v>178</v>
      </c>
      <c r="F71" s="5" t="n">
        <v>46503</v>
      </c>
      <c r="G71" s="5" t="n">
        <v>46512</v>
      </c>
      <c r="H71" s="6" t="n">
        <f aca="false">NETWORKDAYS(F71,G71,Tong_quan!$F$4:$F$40)</f>
        <v>6</v>
      </c>
      <c r="I71" s="16" t="s">
        <v>75</v>
      </c>
      <c r="J71" s="16" t="s">
        <v>99</v>
      </c>
      <c r="K71" s="16" t="s">
        <v>273</v>
      </c>
      <c r="L71" s="16"/>
      <c r="M71" s="4" t="s">
        <v>268</v>
      </c>
      <c r="N71" s="16"/>
    </row>
    <row r="72" customFormat="false" ht="15" hidden="false" customHeight="false" outlineLevel="0" collapsed="false">
      <c r="A72" s="4" t="s">
        <v>274</v>
      </c>
      <c r="B72" s="4" t="s">
        <v>275</v>
      </c>
      <c r="C72" s="4" t="n">
        <v>3</v>
      </c>
      <c r="D72" s="17" t="n">
        <v>7</v>
      </c>
      <c r="E72" s="16" t="s">
        <v>187</v>
      </c>
      <c r="F72" s="5" t="n">
        <v>46527</v>
      </c>
      <c r="G72" s="5" t="n">
        <v>46538</v>
      </c>
      <c r="H72" s="6" t="n">
        <f aca="false">NETWORKDAYS(F72,G72,Tong_quan!$F$4:$F$40)</f>
        <v>8</v>
      </c>
      <c r="I72" s="16" t="s">
        <v>75</v>
      </c>
      <c r="J72" s="16" t="s">
        <v>126</v>
      </c>
      <c r="K72" s="16" t="s">
        <v>276</v>
      </c>
      <c r="L72" s="16"/>
      <c r="M72" s="4" t="s">
        <v>268</v>
      </c>
      <c r="N72" s="16"/>
    </row>
    <row r="73" customFormat="false" ht="15" hidden="false" customHeight="false" outlineLevel="0" collapsed="false">
      <c r="A73" s="4" t="s">
        <v>277</v>
      </c>
      <c r="B73" s="4" t="s">
        <v>278</v>
      </c>
      <c r="C73" s="4" t="n">
        <v>3</v>
      </c>
      <c r="D73" s="17" t="n">
        <v>6</v>
      </c>
      <c r="E73" s="16" t="s">
        <v>279</v>
      </c>
      <c r="F73" s="5" t="n">
        <v>46538</v>
      </c>
      <c r="G73" s="5" t="n">
        <v>46541</v>
      </c>
      <c r="H73" s="6" t="n">
        <f aca="false">NETWORKDAYS(F73,G73,Tong_quan!$F$4:$F$40)</f>
        <v>4</v>
      </c>
      <c r="I73" s="16" t="s">
        <v>75</v>
      </c>
      <c r="J73" s="16" t="s">
        <v>141</v>
      </c>
      <c r="K73" s="16" t="s">
        <v>280</v>
      </c>
      <c r="L73" s="16"/>
      <c r="M73" s="4" t="s">
        <v>268</v>
      </c>
      <c r="N73" s="16"/>
    </row>
    <row r="74" customFormat="false" ht="15" hidden="false" customHeight="false" outlineLevel="0" collapsed="false">
      <c r="A74" s="4" t="s">
        <v>281</v>
      </c>
      <c r="B74" s="4" t="s">
        <v>282</v>
      </c>
      <c r="C74" s="4" t="n">
        <v>3</v>
      </c>
      <c r="D74" s="17" t="n">
        <v>4</v>
      </c>
      <c r="E74" s="16" t="s">
        <v>137</v>
      </c>
      <c r="F74" s="5" t="n">
        <v>46562</v>
      </c>
      <c r="G74" s="5" t="n">
        <v>46567</v>
      </c>
      <c r="H74" s="6" t="n">
        <f aca="false">NETWORKDAYS(F74,G74,Tong_quan!$F$4:$F$40)</f>
        <v>4</v>
      </c>
      <c r="I74" s="16" t="s">
        <v>75</v>
      </c>
      <c r="J74" s="16" t="s">
        <v>166</v>
      </c>
      <c r="K74" s="16" t="s">
        <v>283</v>
      </c>
      <c r="L74" s="16"/>
      <c r="M74" s="4" t="s">
        <v>268</v>
      </c>
      <c r="N74" s="16"/>
    </row>
    <row r="75" customFormat="false" ht="15" hidden="false" customHeight="false" outlineLevel="0" collapsed="false">
      <c r="A75" s="4" t="s">
        <v>284</v>
      </c>
      <c r="B75" s="4" t="s">
        <v>285</v>
      </c>
      <c r="C75" s="4" t="n">
        <v>3</v>
      </c>
      <c r="D75" s="17" t="n">
        <v>6</v>
      </c>
      <c r="E75" s="16" t="s">
        <v>98</v>
      </c>
      <c r="F75" s="5" t="n">
        <v>46514</v>
      </c>
      <c r="G75" s="5" t="n">
        <v>46521</v>
      </c>
      <c r="H75" s="6" t="n">
        <f aca="false">NETWORKDAYS(F75,G75,Tong_quan!$F$4:$F$40)</f>
        <v>6</v>
      </c>
      <c r="I75" s="16" t="s">
        <v>75</v>
      </c>
      <c r="J75" s="16" t="s">
        <v>120</v>
      </c>
      <c r="K75" s="16" t="s">
        <v>276</v>
      </c>
      <c r="L75" s="16"/>
      <c r="M75" s="4" t="s">
        <v>268</v>
      </c>
      <c r="N75" s="16"/>
    </row>
    <row r="76" customFormat="false" ht="15" hidden="false" customHeight="false" outlineLevel="0" collapsed="false">
      <c r="A76" s="4" t="s">
        <v>286</v>
      </c>
      <c r="B76" s="4" t="s">
        <v>287</v>
      </c>
      <c r="C76" s="4" t="n">
        <v>3</v>
      </c>
      <c r="D76" s="17" t="n">
        <v>3</v>
      </c>
      <c r="E76" s="16" t="s">
        <v>249</v>
      </c>
      <c r="F76" s="5" t="n">
        <v>46542</v>
      </c>
      <c r="G76" s="5" t="n">
        <v>46546</v>
      </c>
      <c r="H76" s="6" t="n">
        <f aca="false">NETWORKDAYS(F76,G76,Tong_quan!$F$4:$F$40)</f>
        <v>3</v>
      </c>
      <c r="I76" s="16" t="s">
        <v>75</v>
      </c>
      <c r="J76" s="16" t="s">
        <v>155</v>
      </c>
      <c r="K76" s="16" t="s">
        <v>277</v>
      </c>
      <c r="L76" s="16"/>
      <c r="M76" s="4" t="s">
        <v>268</v>
      </c>
      <c r="N76" s="16"/>
    </row>
    <row r="77" customFormat="false" ht="15" hidden="false" customHeight="false" outlineLevel="0" collapsed="false">
      <c r="A77" s="4" t="s">
        <v>288</v>
      </c>
      <c r="B77" s="4" t="s">
        <v>289</v>
      </c>
      <c r="C77" s="4" t="n">
        <v>3</v>
      </c>
      <c r="D77" s="17" t="n">
        <v>3</v>
      </c>
      <c r="E77" s="16" t="s">
        <v>60</v>
      </c>
      <c r="F77" s="5" t="n">
        <v>46568</v>
      </c>
      <c r="G77" s="5" t="n">
        <v>46575</v>
      </c>
      <c r="H77" s="6" t="n">
        <f aca="false">NETWORKDAYS(F77,G77,Tong_quan!$F$4:$F$40)</f>
        <v>6</v>
      </c>
      <c r="I77" s="16" t="s">
        <v>75</v>
      </c>
      <c r="J77" s="16" t="s">
        <v>290</v>
      </c>
      <c r="K77" s="16" t="s">
        <v>291</v>
      </c>
      <c r="L77" s="16"/>
      <c r="M77" s="4" t="s">
        <v>268</v>
      </c>
      <c r="N77" s="16"/>
    </row>
    <row r="78" customFormat="false" ht="15" hidden="false" customHeight="false" outlineLevel="0" collapsed="false">
      <c r="A78" s="4" t="s">
        <v>175</v>
      </c>
      <c r="B78" s="4" t="s">
        <v>292</v>
      </c>
      <c r="C78" s="4" t="n">
        <v>3</v>
      </c>
      <c r="D78" s="17" t="n">
        <v>3</v>
      </c>
      <c r="E78" s="16" t="s">
        <v>178</v>
      </c>
      <c r="F78" s="5" t="n">
        <v>46520</v>
      </c>
      <c r="G78" s="5" t="n">
        <v>46532</v>
      </c>
      <c r="H78" s="6" t="n">
        <f aca="false">NETWORKDAYS(F78,G78,Tong_quan!$F$4:$F$40)</f>
        <v>9</v>
      </c>
      <c r="I78" s="16" t="s">
        <v>75</v>
      </c>
      <c r="J78" s="16" t="s">
        <v>126</v>
      </c>
      <c r="K78" s="16" t="s">
        <v>293</v>
      </c>
      <c r="L78" s="16"/>
      <c r="M78" s="4" t="s">
        <v>268</v>
      </c>
      <c r="N78" s="16"/>
    </row>
    <row r="79" customFormat="false" ht="15" hidden="false" customHeight="false" outlineLevel="0" collapsed="false">
      <c r="A79" s="4" t="s">
        <v>294</v>
      </c>
      <c r="B79" s="4" t="s">
        <v>295</v>
      </c>
      <c r="C79" s="4" t="n">
        <v>3</v>
      </c>
      <c r="D79" s="17" t="n">
        <v>2</v>
      </c>
      <c r="E79" s="16" t="s">
        <v>92</v>
      </c>
      <c r="F79" s="5" t="n">
        <v>46554</v>
      </c>
      <c r="G79" s="5" t="n">
        <v>46555</v>
      </c>
      <c r="H79" s="6" t="n">
        <f aca="false">NETWORKDAYS(F79,G79,Tong_quan!$F$4:$F$40)</f>
        <v>2</v>
      </c>
      <c r="I79" s="16" t="s">
        <v>75</v>
      </c>
      <c r="J79" s="16" t="s">
        <v>155</v>
      </c>
      <c r="K79" s="16" t="s">
        <v>296</v>
      </c>
      <c r="L79" s="16"/>
      <c r="M79" s="4" t="s">
        <v>268</v>
      </c>
      <c r="N79" s="16"/>
    </row>
    <row r="80" customFormat="false" ht="15" hidden="false" customHeight="false" outlineLevel="0" collapsed="false">
      <c r="A80" s="4" t="s">
        <v>297</v>
      </c>
      <c r="B80" s="4" t="s">
        <v>298</v>
      </c>
      <c r="C80" s="4" t="n">
        <v>3</v>
      </c>
      <c r="D80" s="17" t="n">
        <v>3</v>
      </c>
      <c r="E80" s="16" t="s">
        <v>103</v>
      </c>
      <c r="F80" s="5" t="n">
        <v>46549</v>
      </c>
      <c r="G80" s="5" t="n">
        <v>46553</v>
      </c>
      <c r="H80" s="6" t="n">
        <f aca="false">NETWORKDAYS(F80,G80,Tong_quan!$F$4:$F$40)</f>
        <v>3</v>
      </c>
      <c r="I80" s="16" t="s">
        <v>75</v>
      </c>
      <c r="J80" s="16" t="s">
        <v>155</v>
      </c>
      <c r="K80" s="16" t="s">
        <v>299</v>
      </c>
      <c r="L80" s="16"/>
      <c r="M80" s="4" t="s">
        <v>268</v>
      </c>
      <c r="N80" s="16"/>
    </row>
    <row r="81" customFormat="false" ht="15" hidden="false" customHeight="false" outlineLevel="0" collapsed="false">
      <c r="A81" s="4" t="s">
        <v>300</v>
      </c>
      <c r="B81" s="4" t="s">
        <v>301</v>
      </c>
      <c r="C81" s="4" t="n">
        <v>3</v>
      </c>
      <c r="D81" s="17" t="n">
        <v>8</v>
      </c>
      <c r="E81" s="16" t="s">
        <v>103</v>
      </c>
      <c r="F81" s="5" t="n">
        <v>46584</v>
      </c>
      <c r="G81" s="5" t="n">
        <v>46595</v>
      </c>
      <c r="H81" s="6" t="n">
        <f aca="false">NETWORKDAYS(F81,G81,Tong_quan!$F$4:$F$40)</f>
        <v>8</v>
      </c>
      <c r="I81" s="16" t="s">
        <v>75</v>
      </c>
      <c r="J81" s="16" t="s">
        <v>183</v>
      </c>
      <c r="K81" s="16" t="s">
        <v>72</v>
      </c>
      <c r="L81" s="16"/>
      <c r="M81" s="4" t="s">
        <v>268</v>
      </c>
      <c r="N81" s="16" t="s">
        <v>193</v>
      </c>
    </row>
    <row r="82" customFormat="false" ht="15" hidden="false" customHeight="false" outlineLevel="0" collapsed="false">
      <c r="A82" s="4" t="s">
        <v>302</v>
      </c>
      <c r="B82" s="4" t="s">
        <v>303</v>
      </c>
      <c r="C82" s="4" t="n">
        <v>3</v>
      </c>
      <c r="D82" s="17" t="n">
        <v>4</v>
      </c>
      <c r="E82" s="16" t="s">
        <v>92</v>
      </c>
      <c r="F82" s="5" t="n">
        <v>46584</v>
      </c>
      <c r="G82" s="5" t="n">
        <v>46595</v>
      </c>
      <c r="H82" s="6" t="n">
        <f aca="false">NETWORKDAYS(F82,G82,Tong_quan!$F$4:$F$40)</f>
        <v>8</v>
      </c>
      <c r="I82" s="16" t="s">
        <v>75</v>
      </c>
      <c r="J82" s="16" t="s">
        <v>183</v>
      </c>
      <c r="K82" s="16" t="s">
        <v>188</v>
      </c>
      <c r="L82" s="16" t="s">
        <v>189</v>
      </c>
      <c r="M82" s="4" t="s">
        <v>268</v>
      </c>
      <c r="N82" s="16" t="s">
        <v>190</v>
      </c>
    </row>
    <row r="83" customFormat="false" ht="15" hidden="false" customHeight="false" outlineLevel="0" collapsed="false">
      <c r="A83" s="4" t="s">
        <v>304</v>
      </c>
      <c r="B83" s="4" t="s">
        <v>305</v>
      </c>
      <c r="C83" s="4" t="n">
        <v>3</v>
      </c>
      <c r="D83" s="17" t="n">
        <v>5</v>
      </c>
      <c r="E83" s="16" t="s">
        <v>119</v>
      </c>
      <c r="F83" s="5" t="n">
        <v>46584</v>
      </c>
      <c r="G83" s="5" t="n">
        <v>46590</v>
      </c>
      <c r="H83" s="6" t="n">
        <f aca="false">NETWORKDAYS(F83,G83,Tong_quan!$F$4:$F$40)</f>
        <v>5</v>
      </c>
      <c r="I83" s="16" t="s">
        <v>75</v>
      </c>
      <c r="J83" s="16" t="s">
        <v>183</v>
      </c>
      <c r="K83" s="16" t="s">
        <v>72</v>
      </c>
      <c r="L83" s="16"/>
      <c r="M83" s="4" t="s">
        <v>268</v>
      </c>
      <c r="N83" s="16" t="s">
        <v>193</v>
      </c>
    </row>
    <row r="84" customFormat="false" ht="15" hidden="false" customHeight="false" outlineLevel="0" collapsed="false">
      <c r="A84" s="3" t="s">
        <v>306</v>
      </c>
      <c r="B84" s="3" t="s">
        <v>307</v>
      </c>
      <c r="C84" s="4" t="n">
        <v>2</v>
      </c>
      <c r="D84" s="14" t="n">
        <f aca="false">SUMIFS(D:D,M:M,A84)</f>
        <v>11</v>
      </c>
      <c r="E84" s="4"/>
      <c r="F84" s="15" t="n">
        <f aca="false">_xlfn.MINIFS(F:F,M:M,A84)</f>
        <v>46547</v>
      </c>
      <c r="G84" s="15" t="n">
        <f aca="false">_xlfn.MAXIFS(G:G,M:M,A84)</f>
        <v>46597</v>
      </c>
      <c r="H84" s="6" t="n">
        <f aca="false">NETWORKDAYS(F84,G84,Tong_quan!$F$4:$F$40)</f>
        <v>37</v>
      </c>
      <c r="I84" s="16" t="s">
        <v>75</v>
      </c>
      <c r="J84" s="16" t="s">
        <v>308</v>
      </c>
      <c r="K84" s="4"/>
      <c r="L84" s="4"/>
      <c r="M84" s="4" t="s">
        <v>208</v>
      </c>
      <c r="N84" s="16"/>
    </row>
    <row r="85" customFormat="false" ht="15" hidden="false" customHeight="false" outlineLevel="0" collapsed="false">
      <c r="A85" s="4" t="s">
        <v>309</v>
      </c>
      <c r="B85" s="4" t="s">
        <v>310</v>
      </c>
      <c r="C85" s="4" t="n">
        <v>3</v>
      </c>
      <c r="D85" s="17" t="n">
        <v>4</v>
      </c>
      <c r="E85" s="16" t="s">
        <v>84</v>
      </c>
      <c r="F85" s="5" t="n">
        <v>46547</v>
      </c>
      <c r="G85" s="5" t="n">
        <v>46552</v>
      </c>
      <c r="H85" s="6" t="n">
        <f aca="false">NETWORKDAYS(F85,G85,Tong_quan!$F$4:$F$40)</f>
        <v>4</v>
      </c>
      <c r="I85" s="16" t="s">
        <v>75</v>
      </c>
      <c r="J85" s="16" t="s">
        <v>155</v>
      </c>
      <c r="K85" s="16" t="s">
        <v>311</v>
      </c>
      <c r="L85" s="16"/>
      <c r="M85" s="4" t="s">
        <v>306</v>
      </c>
      <c r="N85" s="16"/>
    </row>
    <row r="86" customFormat="false" ht="15" hidden="false" customHeight="false" outlineLevel="0" collapsed="false">
      <c r="A86" s="4" t="s">
        <v>312</v>
      </c>
      <c r="B86" s="4" t="s">
        <v>313</v>
      </c>
      <c r="C86" s="4" t="n">
        <v>3</v>
      </c>
      <c r="D86" s="17" t="n">
        <v>4</v>
      </c>
      <c r="E86" s="16" t="s">
        <v>249</v>
      </c>
      <c r="F86" s="5" t="n">
        <v>46575</v>
      </c>
      <c r="G86" s="5" t="n">
        <v>46580</v>
      </c>
      <c r="H86" s="6" t="n">
        <f aca="false">NETWORKDAYS(F86,G86,Tong_quan!$F$4:$F$40)</f>
        <v>4</v>
      </c>
      <c r="I86" s="16" t="s">
        <v>75</v>
      </c>
      <c r="J86" s="16" t="s">
        <v>170</v>
      </c>
      <c r="K86" s="16" t="s">
        <v>314</v>
      </c>
      <c r="L86" s="16"/>
      <c r="M86" s="4" t="s">
        <v>306</v>
      </c>
      <c r="N86" s="16"/>
    </row>
    <row r="87" customFormat="false" ht="15" hidden="false" customHeight="false" outlineLevel="0" collapsed="false">
      <c r="A87" s="4" t="s">
        <v>315</v>
      </c>
      <c r="B87" s="4" t="s">
        <v>316</v>
      </c>
      <c r="C87" s="4" t="n">
        <v>3</v>
      </c>
      <c r="D87" s="17" t="n">
        <v>3</v>
      </c>
      <c r="E87" s="16" t="s">
        <v>317</v>
      </c>
      <c r="F87" s="5" t="n">
        <v>46596</v>
      </c>
      <c r="G87" s="5" t="n">
        <v>46597</v>
      </c>
      <c r="H87" s="6" t="n">
        <f aca="false">NETWORKDAYS(F87,G87,Tong_quan!$F$4:$F$40)</f>
        <v>2</v>
      </c>
      <c r="I87" s="16" t="s">
        <v>75</v>
      </c>
      <c r="J87" s="16" t="s">
        <v>183</v>
      </c>
      <c r="K87" s="16" t="s">
        <v>318</v>
      </c>
      <c r="L87" s="16" t="s">
        <v>189</v>
      </c>
      <c r="M87" s="4" t="s">
        <v>306</v>
      </c>
      <c r="N87" s="16"/>
    </row>
    <row r="88" customFormat="false" ht="15" hidden="false" customHeight="false" outlineLevel="0" collapsed="false">
      <c r="A88" s="3" t="s">
        <v>319</v>
      </c>
      <c r="B88" s="3" t="s">
        <v>320</v>
      </c>
      <c r="C88" s="4" t="n">
        <v>1</v>
      </c>
      <c r="D88" s="14" t="n">
        <f aca="false">SUMIFS(D:D,M:M,A88)</f>
        <v>207.5</v>
      </c>
      <c r="E88" s="4"/>
      <c r="F88" s="15" t="n">
        <f aca="false">_xlfn.MINIFS(F:F,M:M,A88)</f>
        <v>46464</v>
      </c>
      <c r="G88" s="15" t="n">
        <f aca="false">_xlfn.MAXIFS(G:G,M:M,A88)</f>
        <v>46597</v>
      </c>
      <c r="H88" s="6" t="n">
        <f aca="false">NETWORKDAYS(F88,G88,Tong_quan!$F$4:$F$40)</f>
        <v>93</v>
      </c>
      <c r="I88" s="16" t="s">
        <v>210</v>
      </c>
      <c r="J88" s="16"/>
      <c r="K88" s="4"/>
      <c r="L88" s="4"/>
      <c r="M88" s="4"/>
      <c r="N88" s="16"/>
    </row>
    <row r="89" customFormat="false" ht="15" hidden="false" customHeight="false" outlineLevel="0" collapsed="false">
      <c r="A89" s="3" t="s">
        <v>321</v>
      </c>
      <c r="B89" s="3" t="s">
        <v>322</v>
      </c>
      <c r="C89" s="4" t="n">
        <v>2</v>
      </c>
      <c r="D89" s="14" t="n">
        <f aca="false">SUMIFS(D:D,M:M,A89)</f>
        <v>15.5</v>
      </c>
      <c r="E89" s="4"/>
      <c r="F89" s="15" t="n">
        <f aca="false">_xlfn.MINIFS(F:F,M:M,A89)</f>
        <v>46464</v>
      </c>
      <c r="G89" s="15" t="n">
        <f aca="false">_xlfn.MAXIFS(G:G,M:M,A89)</f>
        <v>46597</v>
      </c>
      <c r="H89" s="6" t="n">
        <f aca="false">NETWORKDAYS(F89,G89,Tong_quan!$F$4:$F$40)</f>
        <v>93</v>
      </c>
      <c r="I89" s="16" t="s">
        <v>213</v>
      </c>
      <c r="J89" s="16"/>
      <c r="K89" s="4"/>
      <c r="L89" s="4"/>
      <c r="M89" s="4" t="s">
        <v>319</v>
      </c>
      <c r="N89" s="16"/>
    </row>
    <row r="90" customFormat="false" ht="15" hidden="false" customHeight="false" outlineLevel="0" collapsed="false">
      <c r="A90" s="4" t="s">
        <v>323</v>
      </c>
      <c r="B90" s="4" t="s">
        <v>324</v>
      </c>
      <c r="C90" s="4" t="n">
        <v>3</v>
      </c>
      <c r="D90" s="17" t="n">
        <v>4</v>
      </c>
      <c r="E90" s="16" t="s">
        <v>60</v>
      </c>
      <c r="F90" s="5" t="n">
        <v>46475</v>
      </c>
      <c r="G90" s="5" t="n">
        <v>46484</v>
      </c>
      <c r="H90" s="6" t="n">
        <f aca="false">NETWORKDAYS(F90,G90,Tong_quan!$F$4:$F$40)</f>
        <v>8</v>
      </c>
      <c r="I90" s="16" t="s">
        <v>61</v>
      </c>
      <c r="J90" s="16"/>
      <c r="K90" s="16" t="s">
        <v>58</v>
      </c>
      <c r="L90" s="16"/>
      <c r="M90" s="4" t="s">
        <v>321</v>
      </c>
      <c r="N90" s="16"/>
    </row>
    <row r="91" customFormat="false" ht="15" hidden="false" customHeight="false" outlineLevel="0" collapsed="false">
      <c r="A91" s="4" t="s">
        <v>325</v>
      </c>
      <c r="B91" s="4" t="s">
        <v>326</v>
      </c>
      <c r="C91" s="4" t="n">
        <v>3</v>
      </c>
      <c r="D91" s="17" t="n">
        <v>2</v>
      </c>
      <c r="E91" s="16" t="s">
        <v>60</v>
      </c>
      <c r="F91" s="5" t="n">
        <v>46485</v>
      </c>
      <c r="G91" s="5" t="n">
        <v>46491</v>
      </c>
      <c r="H91" s="6" t="n">
        <f aca="false">NETWORKDAYS(F91,G91,Tong_quan!$F$4:$F$40)</f>
        <v>5</v>
      </c>
      <c r="I91" s="16" t="s">
        <v>61</v>
      </c>
      <c r="J91" s="16"/>
      <c r="K91" s="16" t="s">
        <v>323</v>
      </c>
      <c r="L91" s="16"/>
      <c r="M91" s="4" t="s">
        <v>321</v>
      </c>
      <c r="N91" s="16" t="s">
        <v>327</v>
      </c>
    </row>
    <row r="92" customFormat="false" ht="15" hidden="false" customHeight="false" outlineLevel="0" collapsed="false">
      <c r="A92" s="4" t="s">
        <v>328</v>
      </c>
      <c r="B92" s="4" t="s">
        <v>329</v>
      </c>
      <c r="C92" s="4" t="n">
        <v>3</v>
      </c>
      <c r="D92" s="17" t="n">
        <v>2.5</v>
      </c>
      <c r="E92" s="16" t="s">
        <v>64</v>
      </c>
      <c r="F92" s="5" t="n">
        <v>46464</v>
      </c>
      <c r="G92" s="5" t="n">
        <v>46597</v>
      </c>
      <c r="H92" s="6" t="n">
        <f aca="false">NETWORKDAYS(F92,G92,Tong_quan!$F$4:$F$40)</f>
        <v>93</v>
      </c>
      <c r="I92" s="16" t="s">
        <v>65</v>
      </c>
      <c r="J92" s="16"/>
      <c r="K92" s="16"/>
      <c r="L92" s="16"/>
      <c r="M92" s="4" t="s">
        <v>321</v>
      </c>
      <c r="N92" s="16"/>
    </row>
    <row r="93" customFormat="false" ht="15" hidden="false" customHeight="false" outlineLevel="0" collapsed="false">
      <c r="A93" s="4" t="s">
        <v>330</v>
      </c>
      <c r="B93" s="4" t="s">
        <v>331</v>
      </c>
      <c r="C93" s="4" t="n">
        <v>3</v>
      </c>
      <c r="D93" s="17" t="n">
        <v>2</v>
      </c>
      <c r="E93" s="16" t="s">
        <v>64</v>
      </c>
      <c r="F93" s="5" t="n">
        <v>46464</v>
      </c>
      <c r="G93" s="5" t="n">
        <v>46597</v>
      </c>
      <c r="H93" s="6" t="n">
        <f aca="false">NETWORKDAYS(F93,G93,Tong_quan!$F$4:$F$40)</f>
        <v>93</v>
      </c>
      <c r="I93" s="16" t="s">
        <v>65</v>
      </c>
      <c r="J93" s="16"/>
      <c r="K93" s="16"/>
      <c r="L93" s="16"/>
      <c r="M93" s="4" t="s">
        <v>321</v>
      </c>
      <c r="N93" s="16"/>
    </row>
    <row r="94" customFormat="false" ht="15" hidden="false" customHeight="false" outlineLevel="0" collapsed="false">
      <c r="A94" s="4" t="s">
        <v>332</v>
      </c>
      <c r="B94" s="4" t="s">
        <v>333</v>
      </c>
      <c r="C94" s="4" t="n">
        <v>3</v>
      </c>
      <c r="D94" s="17" t="n">
        <v>2.5</v>
      </c>
      <c r="E94" s="16" t="s">
        <v>64</v>
      </c>
      <c r="F94" s="5" t="n">
        <v>46464</v>
      </c>
      <c r="G94" s="5" t="n">
        <v>46597</v>
      </c>
      <c r="H94" s="6" t="n">
        <f aca="false">NETWORKDAYS(F94,G94,Tong_quan!$F$4:$F$40)</f>
        <v>93</v>
      </c>
      <c r="I94" s="16" t="s">
        <v>65</v>
      </c>
      <c r="J94" s="16"/>
      <c r="K94" s="16"/>
      <c r="L94" s="16"/>
      <c r="M94" s="4" t="s">
        <v>321</v>
      </c>
      <c r="N94" s="16"/>
    </row>
    <row r="95" customFormat="false" ht="15" hidden="false" customHeight="false" outlineLevel="0" collapsed="false">
      <c r="A95" s="4" t="s">
        <v>334</v>
      </c>
      <c r="B95" s="4" t="s">
        <v>335</v>
      </c>
      <c r="C95" s="4" t="n">
        <v>3</v>
      </c>
      <c r="D95" s="17" t="n">
        <v>2.5</v>
      </c>
      <c r="E95" s="16" t="s">
        <v>60</v>
      </c>
      <c r="F95" s="5" t="n">
        <v>46524</v>
      </c>
      <c r="G95" s="5" t="n">
        <v>46528</v>
      </c>
      <c r="H95" s="6" t="n">
        <f aca="false">NETWORKDAYS(F95,G95,Tong_quan!$F$4:$F$40)</f>
        <v>5</v>
      </c>
      <c r="I95" s="16" t="s">
        <v>65</v>
      </c>
      <c r="J95" s="16"/>
      <c r="K95" s="16" t="s">
        <v>336</v>
      </c>
      <c r="L95" s="16"/>
      <c r="M95" s="4" t="s">
        <v>321</v>
      </c>
      <c r="N95" s="16"/>
    </row>
    <row r="96" customFormat="false" ht="15" hidden="false" customHeight="false" outlineLevel="0" collapsed="false">
      <c r="A96" s="3" t="s">
        <v>337</v>
      </c>
      <c r="B96" s="3" t="s">
        <v>338</v>
      </c>
      <c r="C96" s="4" t="n">
        <v>2</v>
      </c>
      <c r="D96" s="14" t="n">
        <f aca="false">SUMIFS(D:D,M:M,A96)</f>
        <v>45</v>
      </c>
      <c r="E96" s="4"/>
      <c r="F96" s="15" t="n">
        <f aca="false">_xlfn.MINIFS(F:F,M:M,A96)</f>
        <v>46464</v>
      </c>
      <c r="G96" s="15" t="n">
        <f aca="false">_xlfn.MAXIFS(G:G,M:M,A96)</f>
        <v>46575</v>
      </c>
      <c r="H96" s="6" t="n">
        <f aca="false">NETWORKDAYS(F96,G96,Tong_quan!$F$4:$F$40)</f>
        <v>77</v>
      </c>
      <c r="I96" s="16" t="s">
        <v>75</v>
      </c>
      <c r="J96" s="16" t="s">
        <v>339</v>
      </c>
      <c r="K96" s="4"/>
      <c r="L96" s="4"/>
      <c r="M96" s="4" t="s">
        <v>319</v>
      </c>
      <c r="N96" s="16"/>
    </row>
    <row r="97" customFormat="false" ht="15" hidden="false" customHeight="false" outlineLevel="0" collapsed="false">
      <c r="A97" s="4" t="s">
        <v>81</v>
      </c>
      <c r="B97" s="4" t="s">
        <v>340</v>
      </c>
      <c r="C97" s="4" t="n">
        <v>3</v>
      </c>
      <c r="D97" s="17" t="n">
        <v>4</v>
      </c>
      <c r="E97" s="16" t="s">
        <v>98</v>
      </c>
      <c r="F97" s="5" t="n">
        <v>46464</v>
      </c>
      <c r="G97" s="5" t="n">
        <v>46469</v>
      </c>
      <c r="H97" s="6" t="n">
        <f aca="false">NETWORKDAYS(F97,G97,Tong_quan!$F$4:$F$40)</f>
        <v>4</v>
      </c>
      <c r="I97" s="16" t="s">
        <v>75</v>
      </c>
      <c r="J97" s="16" t="s">
        <v>80</v>
      </c>
      <c r="K97" s="16"/>
      <c r="L97" s="16" t="s">
        <v>189</v>
      </c>
      <c r="M97" s="4" t="s">
        <v>337</v>
      </c>
      <c r="N97" s="16"/>
    </row>
    <row r="98" customFormat="false" ht="15" hidden="false" customHeight="false" outlineLevel="0" collapsed="false">
      <c r="A98" s="4" t="s">
        <v>341</v>
      </c>
      <c r="B98" s="4" t="s">
        <v>342</v>
      </c>
      <c r="C98" s="4" t="n">
        <v>3</v>
      </c>
      <c r="D98" s="17" t="n">
        <v>5</v>
      </c>
      <c r="E98" s="16" t="s">
        <v>98</v>
      </c>
      <c r="F98" s="5" t="n">
        <v>46470</v>
      </c>
      <c r="G98" s="5" t="n">
        <v>46476</v>
      </c>
      <c r="H98" s="6" t="n">
        <f aca="false">NETWORKDAYS(F98,G98,Tong_quan!$F$4:$F$40)</f>
        <v>5</v>
      </c>
      <c r="I98" s="16" t="s">
        <v>75</v>
      </c>
      <c r="J98" s="16" t="s">
        <v>80</v>
      </c>
      <c r="K98" s="16" t="s">
        <v>343</v>
      </c>
      <c r="L98" s="16" t="s">
        <v>189</v>
      </c>
      <c r="M98" s="4" t="s">
        <v>337</v>
      </c>
      <c r="N98" s="16"/>
    </row>
    <row r="99" customFormat="false" ht="15" hidden="false" customHeight="false" outlineLevel="0" collapsed="false">
      <c r="A99" s="4" t="s">
        <v>344</v>
      </c>
      <c r="B99" s="4" t="s">
        <v>345</v>
      </c>
      <c r="C99" s="4" t="n">
        <v>3</v>
      </c>
      <c r="D99" s="17" t="n">
        <v>4</v>
      </c>
      <c r="E99" s="16" t="s">
        <v>98</v>
      </c>
      <c r="F99" s="5" t="n">
        <v>46499</v>
      </c>
      <c r="G99" s="5" t="n">
        <v>46505</v>
      </c>
      <c r="H99" s="6" t="n">
        <f aca="false">NETWORKDAYS(F99,G99,Tong_quan!$F$4:$F$40)</f>
        <v>5</v>
      </c>
      <c r="I99" s="16" t="s">
        <v>75</v>
      </c>
      <c r="J99" s="16" t="s">
        <v>99</v>
      </c>
      <c r="K99" s="16" t="s">
        <v>81</v>
      </c>
      <c r="L99" s="16"/>
      <c r="M99" s="4" t="s">
        <v>337</v>
      </c>
      <c r="N99" s="16"/>
    </row>
    <row r="100" customFormat="false" ht="15" hidden="false" customHeight="false" outlineLevel="0" collapsed="false">
      <c r="A100" s="4" t="s">
        <v>346</v>
      </c>
      <c r="B100" s="4" t="s">
        <v>347</v>
      </c>
      <c r="C100" s="4" t="n">
        <v>3</v>
      </c>
      <c r="D100" s="17" t="n">
        <v>4</v>
      </c>
      <c r="E100" s="16" t="s">
        <v>92</v>
      </c>
      <c r="F100" s="5" t="n">
        <v>46477</v>
      </c>
      <c r="G100" s="5" t="n">
        <v>46482</v>
      </c>
      <c r="H100" s="6" t="n">
        <f aca="false">NETWORKDAYS(F100,G100,Tong_quan!$F$4:$F$40)</f>
        <v>4</v>
      </c>
      <c r="I100" s="16" t="s">
        <v>75</v>
      </c>
      <c r="J100" s="16" t="s">
        <v>199</v>
      </c>
      <c r="K100" s="16" t="s">
        <v>348</v>
      </c>
      <c r="L100" s="16"/>
      <c r="M100" s="4" t="s">
        <v>337</v>
      </c>
      <c r="N100" s="16"/>
    </row>
    <row r="101" customFormat="false" ht="15" hidden="false" customHeight="false" outlineLevel="0" collapsed="false">
      <c r="A101" s="4" t="s">
        <v>336</v>
      </c>
      <c r="B101" s="4" t="s">
        <v>349</v>
      </c>
      <c r="C101" s="4" t="n">
        <v>3</v>
      </c>
      <c r="D101" s="17" t="n">
        <v>3</v>
      </c>
      <c r="E101" s="16" t="s">
        <v>98</v>
      </c>
      <c r="F101" s="5" t="n">
        <v>46511</v>
      </c>
      <c r="G101" s="5" t="n">
        <v>46513</v>
      </c>
      <c r="H101" s="6" t="n">
        <f aca="false">NETWORKDAYS(F101,G101,Tong_quan!$F$4:$F$40)</f>
        <v>3</v>
      </c>
      <c r="I101" s="16" t="s">
        <v>75</v>
      </c>
      <c r="J101" s="16" t="s">
        <v>99</v>
      </c>
      <c r="K101" s="16" t="s">
        <v>350</v>
      </c>
      <c r="L101" s="16"/>
      <c r="M101" s="4" t="s">
        <v>337</v>
      </c>
      <c r="N101" s="16" t="s">
        <v>351</v>
      </c>
    </row>
    <row r="102" customFormat="false" ht="15" hidden="false" customHeight="false" outlineLevel="0" collapsed="false">
      <c r="A102" s="4" t="s">
        <v>352</v>
      </c>
      <c r="B102" s="4" t="s">
        <v>353</v>
      </c>
      <c r="C102" s="4" t="n">
        <v>3</v>
      </c>
      <c r="D102" s="17" t="n">
        <v>3</v>
      </c>
      <c r="E102" s="16" t="s">
        <v>98</v>
      </c>
      <c r="F102" s="5" t="n">
        <v>46490</v>
      </c>
      <c r="G102" s="5" t="n">
        <v>46492</v>
      </c>
      <c r="H102" s="6" t="n">
        <f aca="false">NETWORKDAYS(F102,G102,Tong_quan!$F$4:$F$40)</f>
        <v>3</v>
      </c>
      <c r="I102" s="16" t="s">
        <v>75</v>
      </c>
      <c r="J102" s="16" t="s">
        <v>104</v>
      </c>
      <c r="K102" s="16" t="s">
        <v>341</v>
      </c>
      <c r="L102" s="16"/>
      <c r="M102" s="4" t="s">
        <v>337</v>
      </c>
      <c r="N102" s="16"/>
    </row>
    <row r="103" customFormat="false" ht="15" hidden="false" customHeight="false" outlineLevel="0" collapsed="false">
      <c r="A103" s="4" t="s">
        <v>354</v>
      </c>
      <c r="B103" s="4" t="s">
        <v>355</v>
      </c>
      <c r="C103" s="4" t="n">
        <v>3</v>
      </c>
      <c r="D103" s="17" t="n">
        <v>4</v>
      </c>
      <c r="E103" s="16" t="s">
        <v>98</v>
      </c>
      <c r="F103" s="5" t="n">
        <v>46477</v>
      </c>
      <c r="G103" s="5" t="n">
        <v>46482</v>
      </c>
      <c r="H103" s="6" t="n">
        <f aca="false">NETWORKDAYS(F103,G103,Tong_quan!$F$4:$F$40)</f>
        <v>4</v>
      </c>
      <c r="I103" s="16" t="s">
        <v>75</v>
      </c>
      <c r="J103" s="16" t="s">
        <v>199</v>
      </c>
      <c r="K103" s="16" t="s">
        <v>341</v>
      </c>
      <c r="L103" s="16"/>
      <c r="M103" s="4" t="s">
        <v>337</v>
      </c>
      <c r="N103" s="16"/>
    </row>
    <row r="104" customFormat="false" ht="15" hidden="false" customHeight="false" outlineLevel="0" collapsed="false">
      <c r="A104" s="4" t="s">
        <v>356</v>
      </c>
      <c r="B104" s="4" t="s">
        <v>357</v>
      </c>
      <c r="C104" s="4" t="n">
        <v>3</v>
      </c>
      <c r="D104" s="17" t="n">
        <v>4</v>
      </c>
      <c r="E104" s="16" t="s">
        <v>84</v>
      </c>
      <c r="F104" s="5" t="n">
        <v>46491</v>
      </c>
      <c r="G104" s="5" t="n">
        <v>46497</v>
      </c>
      <c r="H104" s="6" t="n">
        <f aca="false">NETWORKDAYS(F104,G104,Tong_quan!$F$4:$F$40)</f>
        <v>4</v>
      </c>
      <c r="I104" s="16" t="s">
        <v>75</v>
      </c>
      <c r="J104" s="16" t="s">
        <v>104</v>
      </c>
      <c r="K104" s="16" t="s">
        <v>341</v>
      </c>
      <c r="L104" s="16"/>
      <c r="M104" s="4" t="s">
        <v>337</v>
      </c>
      <c r="N104" s="16"/>
    </row>
    <row r="105" customFormat="false" ht="15" hidden="false" customHeight="false" outlineLevel="0" collapsed="false">
      <c r="A105" s="4" t="s">
        <v>358</v>
      </c>
      <c r="B105" s="4" t="s">
        <v>359</v>
      </c>
      <c r="C105" s="4" t="n">
        <v>3</v>
      </c>
      <c r="D105" s="17" t="n">
        <v>4</v>
      </c>
      <c r="E105" s="16" t="s">
        <v>360</v>
      </c>
      <c r="F105" s="5" t="n">
        <v>46499</v>
      </c>
      <c r="G105" s="5" t="n">
        <v>46506</v>
      </c>
      <c r="H105" s="6" t="n">
        <f aca="false">NETWORKDAYS(F105,G105,Tong_quan!$F$4:$F$40)</f>
        <v>6</v>
      </c>
      <c r="I105" s="16" t="s">
        <v>75</v>
      </c>
      <c r="J105" s="16" t="s">
        <v>99</v>
      </c>
      <c r="K105" s="16" t="s">
        <v>361</v>
      </c>
      <c r="L105" s="16"/>
      <c r="M105" s="4" t="s">
        <v>337</v>
      </c>
      <c r="N105" s="16"/>
    </row>
    <row r="106" customFormat="false" ht="15" hidden="false" customHeight="false" outlineLevel="0" collapsed="false">
      <c r="A106" s="4" t="s">
        <v>362</v>
      </c>
      <c r="B106" s="4" t="s">
        <v>363</v>
      </c>
      <c r="C106" s="4" t="n">
        <v>3</v>
      </c>
      <c r="D106" s="17" t="n">
        <v>4</v>
      </c>
      <c r="E106" s="16" t="s">
        <v>137</v>
      </c>
      <c r="F106" s="5" t="n">
        <v>46485</v>
      </c>
      <c r="G106" s="5" t="n">
        <v>46490</v>
      </c>
      <c r="H106" s="6" t="n">
        <f aca="false">NETWORKDAYS(F106,G106,Tong_quan!$F$4:$F$40)</f>
        <v>4</v>
      </c>
      <c r="I106" s="16" t="s">
        <v>75</v>
      </c>
      <c r="J106" s="16" t="s">
        <v>85</v>
      </c>
      <c r="K106" s="16" t="s">
        <v>364</v>
      </c>
      <c r="L106" s="16"/>
      <c r="M106" s="4" t="s">
        <v>337</v>
      </c>
      <c r="N106" s="16"/>
    </row>
    <row r="107" customFormat="false" ht="15" hidden="false" customHeight="false" outlineLevel="0" collapsed="false">
      <c r="A107" s="4" t="s">
        <v>365</v>
      </c>
      <c r="B107" s="4" t="s">
        <v>366</v>
      </c>
      <c r="C107" s="4" t="n">
        <v>3</v>
      </c>
      <c r="D107" s="17" t="n">
        <v>4</v>
      </c>
      <c r="E107" s="16" t="s">
        <v>119</v>
      </c>
      <c r="F107" s="5" t="n">
        <v>46498</v>
      </c>
      <c r="G107" s="5" t="n">
        <v>46503</v>
      </c>
      <c r="H107" s="6" t="n">
        <f aca="false">NETWORKDAYS(F107,G107,Tong_quan!$F$4:$F$40)</f>
        <v>4</v>
      </c>
      <c r="I107" s="16" t="s">
        <v>75</v>
      </c>
      <c r="J107" s="16" t="s">
        <v>99</v>
      </c>
      <c r="K107" s="16" t="s">
        <v>367</v>
      </c>
      <c r="L107" s="16"/>
      <c r="M107" s="4" t="s">
        <v>337</v>
      </c>
      <c r="N107" s="16"/>
    </row>
    <row r="108" customFormat="false" ht="15" hidden="false" customHeight="false" outlineLevel="0" collapsed="false">
      <c r="A108" s="4" t="s">
        <v>368</v>
      </c>
      <c r="B108" s="4" t="s">
        <v>369</v>
      </c>
      <c r="C108" s="4" t="n">
        <v>3</v>
      </c>
      <c r="D108" s="17" t="n">
        <v>2</v>
      </c>
      <c r="E108" s="16" t="s">
        <v>98</v>
      </c>
      <c r="F108" s="5" t="n">
        <v>46574</v>
      </c>
      <c r="G108" s="5" t="n">
        <v>46575</v>
      </c>
      <c r="H108" s="6" t="n">
        <f aca="false">NETWORKDAYS(F108,G108,Tong_quan!$F$4:$F$40)</f>
        <v>2</v>
      </c>
      <c r="I108" s="16" t="s">
        <v>75</v>
      </c>
      <c r="J108" s="16" t="s">
        <v>170</v>
      </c>
      <c r="K108" s="16" t="s">
        <v>72</v>
      </c>
      <c r="L108" s="16"/>
      <c r="M108" s="4" t="s">
        <v>337</v>
      </c>
      <c r="N108" s="16"/>
    </row>
    <row r="109" customFormat="false" ht="15" hidden="false" customHeight="false" outlineLevel="0" collapsed="false">
      <c r="A109" s="3" t="s">
        <v>370</v>
      </c>
      <c r="B109" s="3" t="s">
        <v>371</v>
      </c>
      <c r="C109" s="4" t="n">
        <v>2</v>
      </c>
      <c r="D109" s="14" t="n">
        <f aca="false">SUMIFS(D:D,M:M,A109)</f>
        <v>56</v>
      </c>
      <c r="E109" s="4"/>
      <c r="F109" s="15" t="n">
        <f aca="false">_xlfn.MINIFS(F:F,M:M,A109)</f>
        <v>46491</v>
      </c>
      <c r="G109" s="15" t="n">
        <f aca="false">_xlfn.MAXIFS(G:G,M:M,A109)</f>
        <v>46535</v>
      </c>
      <c r="H109" s="6" t="n">
        <f aca="false">NETWORKDAYS(F109,G109,Tong_quan!$F$4:$F$40)</f>
        <v>30</v>
      </c>
      <c r="I109" s="16" t="s">
        <v>75</v>
      </c>
      <c r="J109" s="16" t="s">
        <v>372</v>
      </c>
      <c r="K109" s="4"/>
      <c r="L109" s="4"/>
      <c r="M109" s="4" t="s">
        <v>319</v>
      </c>
      <c r="N109" s="16"/>
    </row>
    <row r="110" customFormat="false" ht="15" hidden="false" customHeight="false" outlineLevel="0" collapsed="false">
      <c r="A110" s="4" t="s">
        <v>373</v>
      </c>
      <c r="B110" s="4" t="s">
        <v>374</v>
      </c>
      <c r="C110" s="4" t="n">
        <v>3</v>
      </c>
      <c r="D110" s="17" t="n">
        <v>5</v>
      </c>
      <c r="E110" s="16" t="s">
        <v>84</v>
      </c>
      <c r="F110" s="5" t="n">
        <v>46511</v>
      </c>
      <c r="G110" s="5" t="n">
        <v>46517</v>
      </c>
      <c r="H110" s="6" t="n">
        <f aca="false">NETWORKDAYS(F110,G110,Tong_quan!$F$4:$F$40)</f>
        <v>5</v>
      </c>
      <c r="I110" s="16" t="s">
        <v>75</v>
      </c>
      <c r="J110" s="16" t="s">
        <v>108</v>
      </c>
      <c r="K110" s="16" t="s">
        <v>375</v>
      </c>
      <c r="L110" s="16"/>
      <c r="M110" s="4" t="s">
        <v>370</v>
      </c>
      <c r="N110" s="16"/>
    </row>
    <row r="111" customFormat="false" ht="15" hidden="false" customHeight="false" outlineLevel="0" collapsed="false">
      <c r="A111" s="4" t="s">
        <v>376</v>
      </c>
      <c r="B111" s="4" t="s">
        <v>377</v>
      </c>
      <c r="C111" s="4" t="n">
        <v>3</v>
      </c>
      <c r="D111" s="17" t="n">
        <v>5</v>
      </c>
      <c r="E111" s="16" t="s">
        <v>84</v>
      </c>
      <c r="F111" s="5" t="n">
        <v>46518</v>
      </c>
      <c r="G111" s="5" t="n">
        <v>46524</v>
      </c>
      <c r="H111" s="6" t="n">
        <f aca="false">NETWORKDAYS(F111,G111,Tong_quan!$F$4:$F$40)</f>
        <v>5</v>
      </c>
      <c r="I111" s="16" t="s">
        <v>75</v>
      </c>
      <c r="J111" s="16" t="s">
        <v>120</v>
      </c>
      <c r="K111" s="16" t="s">
        <v>375</v>
      </c>
      <c r="L111" s="16"/>
      <c r="M111" s="4" t="s">
        <v>370</v>
      </c>
      <c r="N111" s="16"/>
    </row>
    <row r="112" customFormat="false" ht="15" hidden="false" customHeight="false" outlineLevel="0" collapsed="false">
      <c r="A112" s="4" t="s">
        <v>378</v>
      </c>
      <c r="B112" s="4" t="s">
        <v>379</v>
      </c>
      <c r="C112" s="4" t="n">
        <v>3</v>
      </c>
      <c r="D112" s="17" t="n">
        <v>5</v>
      </c>
      <c r="E112" s="16" t="s">
        <v>249</v>
      </c>
      <c r="F112" s="5" t="n">
        <v>46491</v>
      </c>
      <c r="G112" s="5" t="n">
        <v>46499</v>
      </c>
      <c r="H112" s="6" t="n">
        <f aca="false">NETWORKDAYS(F112,G112,Tong_quan!$F$4:$F$40)</f>
        <v>6</v>
      </c>
      <c r="I112" s="16" t="s">
        <v>75</v>
      </c>
      <c r="J112" s="16" t="s">
        <v>104</v>
      </c>
      <c r="K112" s="16" t="s">
        <v>380</v>
      </c>
      <c r="L112" s="16"/>
      <c r="M112" s="4" t="s">
        <v>370</v>
      </c>
      <c r="N112" s="16"/>
    </row>
    <row r="113" customFormat="false" ht="15" hidden="false" customHeight="false" outlineLevel="0" collapsed="false">
      <c r="A113" s="4" t="s">
        <v>381</v>
      </c>
      <c r="B113" s="4" t="s">
        <v>382</v>
      </c>
      <c r="C113" s="4" t="n">
        <v>3</v>
      </c>
      <c r="D113" s="17" t="n">
        <v>5</v>
      </c>
      <c r="E113" s="16" t="s">
        <v>115</v>
      </c>
      <c r="F113" s="5" t="n">
        <v>46492</v>
      </c>
      <c r="G113" s="5" t="n">
        <v>46500</v>
      </c>
      <c r="H113" s="6" t="n">
        <f aca="false">NETWORKDAYS(F113,G113,Tong_quan!$F$4:$F$40)</f>
        <v>6</v>
      </c>
      <c r="I113" s="16" t="s">
        <v>75</v>
      </c>
      <c r="J113" s="16" t="s">
        <v>99</v>
      </c>
      <c r="K113" s="16" t="s">
        <v>380</v>
      </c>
      <c r="L113" s="16"/>
      <c r="M113" s="4" t="s">
        <v>370</v>
      </c>
      <c r="N113" s="16"/>
    </row>
    <row r="114" customFormat="false" ht="15" hidden="false" customHeight="false" outlineLevel="0" collapsed="false">
      <c r="A114" s="4" t="s">
        <v>383</v>
      </c>
      <c r="B114" s="4" t="s">
        <v>384</v>
      </c>
      <c r="C114" s="4" t="n">
        <v>3</v>
      </c>
      <c r="D114" s="17" t="n">
        <v>6</v>
      </c>
      <c r="E114" s="16" t="s">
        <v>385</v>
      </c>
      <c r="F114" s="5" t="n">
        <v>46499</v>
      </c>
      <c r="G114" s="5" t="n">
        <v>46504</v>
      </c>
      <c r="H114" s="6" t="n">
        <f aca="false">NETWORKDAYS(F114,G114,Tong_quan!$F$4:$F$40)</f>
        <v>4</v>
      </c>
      <c r="I114" s="16" t="s">
        <v>75</v>
      </c>
      <c r="J114" s="16" t="s">
        <v>99</v>
      </c>
      <c r="K114" s="16" t="s">
        <v>386</v>
      </c>
      <c r="L114" s="16"/>
      <c r="M114" s="4" t="s">
        <v>370</v>
      </c>
      <c r="N114" s="16"/>
    </row>
    <row r="115" customFormat="false" ht="15" hidden="false" customHeight="false" outlineLevel="0" collapsed="false">
      <c r="A115" s="4" t="s">
        <v>387</v>
      </c>
      <c r="B115" s="4" t="s">
        <v>388</v>
      </c>
      <c r="C115" s="4" t="n">
        <v>3</v>
      </c>
      <c r="D115" s="17" t="n">
        <v>5</v>
      </c>
      <c r="E115" s="16" t="s">
        <v>165</v>
      </c>
      <c r="F115" s="5" t="n">
        <v>46513</v>
      </c>
      <c r="G115" s="5" t="n">
        <v>46520</v>
      </c>
      <c r="H115" s="6" t="n">
        <f aca="false">NETWORKDAYS(F115,G115,Tong_quan!$F$4:$F$40)</f>
        <v>6</v>
      </c>
      <c r="I115" s="16" t="s">
        <v>75</v>
      </c>
      <c r="J115" s="16" t="s">
        <v>108</v>
      </c>
      <c r="K115" s="16" t="s">
        <v>389</v>
      </c>
      <c r="L115" s="16"/>
      <c r="M115" s="4" t="s">
        <v>370</v>
      </c>
      <c r="N115" s="16"/>
    </row>
    <row r="116" customFormat="false" ht="15" hidden="false" customHeight="false" outlineLevel="0" collapsed="false">
      <c r="A116" s="4" t="s">
        <v>390</v>
      </c>
      <c r="B116" s="4" t="s">
        <v>391</v>
      </c>
      <c r="C116" s="4" t="n">
        <v>3</v>
      </c>
      <c r="D116" s="17" t="n">
        <v>6</v>
      </c>
      <c r="E116" s="16" t="s">
        <v>103</v>
      </c>
      <c r="F116" s="5" t="n">
        <v>46511</v>
      </c>
      <c r="G116" s="5" t="n">
        <v>46520</v>
      </c>
      <c r="H116" s="6" t="n">
        <f aca="false">NETWORKDAYS(F116,G116,Tong_quan!$F$4:$F$40)</f>
        <v>8</v>
      </c>
      <c r="I116" s="16" t="s">
        <v>75</v>
      </c>
      <c r="J116" s="16" t="s">
        <v>108</v>
      </c>
      <c r="K116" s="16" t="s">
        <v>389</v>
      </c>
      <c r="L116" s="16"/>
      <c r="M116" s="4" t="s">
        <v>370</v>
      </c>
      <c r="N116" s="16"/>
    </row>
    <row r="117" customFormat="false" ht="15" hidden="false" customHeight="false" outlineLevel="0" collapsed="false">
      <c r="A117" s="4" t="s">
        <v>392</v>
      </c>
      <c r="B117" s="4" t="s">
        <v>393</v>
      </c>
      <c r="C117" s="4" t="n">
        <v>3</v>
      </c>
      <c r="D117" s="17" t="n">
        <v>5</v>
      </c>
      <c r="E117" s="16" t="s">
        <v>92</v>
      </c>
      <c r="F117" s="5" t="n">
        <v>46511</v>
      </c>
      <c r="G117" s="5" t="n">
        <v>46517</v>
      </c>
      <c r="H117" s="6" t="n">
        <f aca="false">NETWORKDAYS(F117,G117,Tong_quan!$F$4:$F$40)</f>
        <v>5</v>
      </c>
      <c r="I117" s="16" t="s">
        <v>75</v>
      </c>
      <c r="J117" s="16" t="s">
        <v>108</v>
      </c>
      <c r="K117" s="16" t="s">
        <v>394</v>
      </c>
      <c r="L117" s="16"/>
      <c r="M117" s="4" t="s">
        <v>370</v>
      </c>
      <c r="N117" s="16"/>
    </row>
    <row r="118" customFormat="false" ht="15" hidden="false" customHeight="false" outlineLevel="0" collapsed="false">
      <c r="A118" s="4" t="s">
        <v>395</v>
      </c>
      <c r="B118" s="4" t="s">
        <v>396</v>
      </c>
      <c r="C118" s="4" t="n">
        <v>3</v>
      </c>
      <c r="D118" s="17" t="n">
        <v>6</v>
      </c>
      <c r="E118" s="16" t="s">
        <v>92</v>
      </c>
      <c r="F118" s="5" t="n">
        <v>46491</v>
      </c>
      <c r="G118" s="5" t="n">
        <v>46499</v>
      </c>
      <c r="H118" s="6" t="n">
        <f aca="false">NETWORKDAYS(F118,G118,Tong_quan!$F$4:$F$40)</f>
        <v>6</v>
      </c>
      <c r="I118" s="16" t="s">
        <v>75</v>
      </c>
      <c r="J118" s="16" t="s">
        <v>104</v>
      </c>
      <c r="K118" s="16" t="s">
        <v>397</v>
      </c>
      <c r="L118" s="16"/>
      <c r="M118" s="4" t="s">
        <v>370</v>
      </c>
      <c r="N118" s="16"/>
    </row>
    <row r="119" customFormat="false" ht="15" hidden="false" customHeight="false" outlineLevel="0" collapsed="false">
      <c r="A119" s="4" t="s">
        <v>398</v>
      </c>
      <c r="B119" s="4" t="s">
        <v>399</v>
      </c>
      <c r="C119" s="4" t="n">
        <v>3</v>
      </c>
      <c r="D119" s="17" t="n">
        <v>5</v>
      </c>
      <c r="E119" s="16" t="s">
        <v>137</v>
      </c>
      <c r="F119" s="5" t="n">
        <v>46511</v>
      </c>
      <c r="G119" s="5" t="n">
        <v>46517</v>
      </c>
      <c r="H119" s="6" t="n">
        <f aca="false">NETWORKDAYS(F119,G119,Tong_quan!$F$4:$F$40)</f>
        <v>5</v>
      </c>
      <c r="I119" s="16" t="s">
        <v>75</v>
      </c>
      <c r="J119" s="16" t="s">
        <v>108</v>
      </c>
      <c r="K119" s="16" t="s">
        <v>400</v>
      </c>
      <c r="L119" s="16"/>
      <c r="M119" s="4" t="s">
        <v>370</v>
      </c>
      <c r="N119" s="16"/>
    </row>
    <row r="120" customFormat="false" ht="15" hidden="false" customHeight="false" outlineLevel="0" collapsed="false">
      <c r="A120" s="4" t="s">
        <v>401</v>
      </c>
      <c r="B120" s="4" t="s">
        <v>402</v>
      </c>
      <c r="C120" s="4" t="n">
        <v>3</v>
      </c>
      <c r="D120" s="17" t="n">
        <v>3</v>
      </c>
      <c r="E120" s="16" t="s">
        <v>115</v>
      </c>
      <c r="F120" s="5" t="n">
        <v>46533</v>
      </c>
      <c r="G120" s="5" t="n">
        <v>46535</v>
      </c>
      <c r="H120" s="6" t="n">
        <f aca="false">NETWORKDAYS(F120,G120,Tong_quan!$F$4:$F$40)</f>
        <v>3</v>
      </c>
      <c r="I120" s="16" t="s">
        <v>75</v>
      </c>
      <c r="J120" s="16" t="s">
        <v>141</v>
      </c>
      <c r="K120" s="16" t="s">
        <v>403</v>
      </c>
      <c r="L120" s="16"/>
      <c r="M120" s="4" t="s">
        <v>370</v>
      </c>
      <c r="N120" s="16"/>
    </row>
    <row r="121" customFormat="false" ht="15" hidden="false" customHeight="false" outlineLevel="0" collapsed="false">
      <c r="A121" s="3" t="s">
        <v>404</v>
      </c>
      <c r="B121" s="3" t="s">
        <v>405</v>
      </c>
      <c r="C121" s="4" t="n">
        <v>2</v>
      </c>
      <c r="D121" s="14" t="n">
        <f aca="false">SUMIFS(D:D,M:M,A121)</f>
        <v>79</v>
      </c>
      <c r="E121" s="4"/>
      <c r="F121" s="15" t="n">
        <f aca="false">_xlfn.MINIFS(F:F,M:M,A121)</f>
        <v>46498</v>
      </c>
      <c r="G121" s="15" t="n">
        <f aca="false">_xlfn.MAXIFS(G:G,M:M,A121)</f>
        <v>46595</v>
      </c>
      <c r="H121" s="6" t="n">
        <f aca="false">NETWORKDAYS(F121,G121,Tong_quan!$F$4:$F$40)</f>
        <v>68</v>
      </c>
      <c r="I121" s="16" t="s">
        <v>75</v>
      </c>
      <c r="J121" s="16" t="s">
        <v>270</v>
      </c>
      <c r="K121" s="4"/>
      <c r="L121" s="4"/>
      <c r="M121" s="4" t="s">
        <v>319</v>
      </c>
      <c r="N121" s="16"/>
    </row>
    <row r="122" customFormat="false" ht="15" hidden="false" customHeight="false" outlineLevel="0" collapsed="false">
      <c r="A122" s="4" t="s">
        <v>406</v>
      </c>
      <c r="B122" s="4" t="s">
        <v>407</v>
      </c>
      <c r="C122" s="4" t="n">
        <v>3</v>
      </c>
      <c r="D122" s="17" t="n">
        <v>7</v>
      </c>
      <c r="E122" s="16" t="s">
        <v>187</v>
      </c>
      <c r="F122" s="5" t="n">
        <v>46498</v>
      </c>
      <c r="G122" s="5" t="n">
        <v>46511</v>
      </c>
      <c r="H122" s="6" t="n">
        <f aca="false">NETWORKDAYS(F122,G122,Tong_quan!$F$4:$F$40)</f>
        <v>8</v>
      </c>
      <c r="I122" s="16" t="s">
        <v>75</v>
      </c>
      <c r="J122" s="16" t="s">
        <v>99</v>
      </c>
      <c r="K122" s="16" t="s">
        <v>408</v>
      </c>
      <c r="L122" s="16"/>
      <c r="M122" s="4" t="s">
        <v>404</v>
      </c>
      <c r="N122" s="16"/>
    </row>
    <row r="123" customFormat="false" ht="15" hidden="false" customHeight="false" outlineLevel="0" collapsed="false">
      <c r="A123" s="4" t="s">
        <v>409</v>
      </c>
      <c r="B123" s="4" t="s">
        <v>410</v>
      </c>
      <c r="C123" s="4" t="n">
        <v>3</v>
      </c>
      <c r="D123" s="17" t="n">
        <v>6</v>
      </c>
      <c r="E123" s="16" t="s">
        <v>103</v>
      </c>
      <c r="F123" s="5" t="n">
        <v>46525</v>
      </c>
      <c r="G123" s="5" t="n">
        <v>46533</v>
      </c>
      <c r="H123" s="6" t="n">
        <f aca="false">NETWORKDAYS(F123,G123,Tong_quan!$F$4:$F$40)</f>
        <v>7</v>
      </c>
      <c r="I123" s="16" t="s">
        <v>75</v>
      </c>
      <c r="J123" s="16" t="s">
        <v>126</v>
      </c>
      <c r="K123" s="16" t="s">
        <v>411</v>
      </c>
      <c r="L123" s="16"/>
      <c r="M123" s="4" t="s">
        <v>404</v>
      </c>
      <c r="N123" s="16"/>
    </row>
    <row r="124" customFormat="false" ht="15" hidden="false" customHeight="false" outlineLevel="0" collapsed="false">
      <c r="A124" s="4" t="s">
        <v>412</v>
      </c>
      <c r="B124" s="4" t="s">
        <v>413</v>
      </c>
      <c r="C124" s="4" t="n">
        <v>3</v>
      </c>
      <c r="D124" s="17" t="n">
        <v>9</v>
      </c>
      <c r="E124" s="16" t="s">
        <v>187</v>
      </c>
      <c r="F124" s="5" t="n">
        <v>46513</v>
      </c>
      <c r="G124" s="5" t="n">
        <v>46525</v>
      </c>
      <c r="H124" s="6" t="n">
        <f aca="false">NETWORKDAYS(F124,G124,Tong_quan!$F$4:$F$40)</f>
        <v>9</v>
      </c>
      <c r="I124" s="16" t="s">
        <v>75</v>
      </c>
      <c r="J124" s="16" t="s">
        <v>108</v>
      </c>
      <c r="K124" s="16" t="s">
        <v>414</v>
      </c>
      <c r="L124" s="16"/>
      <c r="M124" s="4" t="s">
        <v>404</v>
      </c>
      <c r="N124" s="16"/>
    </row>
    <row r="125" customFormat="false" ht="15" hidden="false" customHeight="false" outlineLevel="0" collapsed="false">
      <c r="A125" s="4" t="s">
        <v>415</v>
      </c>
      <c r="B125" s="4" t="s">
        <v>416</v>
      </c>
      <c r="C125" s="4" t="n">
        <v>3</v>
      </c>
      <c r="D125" s="17" t="n">
        <v>6</v>
      </c>
      <c r="E125" s="16" t="s">
        <v>178</v>
      </c>
      <c r="F125" s="5" t="n">
        <v>46521</v>
      </c>
      <c r="G125" s="5" t="n">
        <v>46545</v>
      </c>
      <c r="H125" s="6" t="n">
        <f aca="false">NETWORKDAYS(F125,G125,Tong_quan!$F$4:$F$40)</f>
        <v>17</v>
      </c>
      <c r="I125" s="16" t="s">
        <v>75</v>
      </c>
      <c r="J125" s="16" t="s">
        <v>417</v>
      </c>
      <c r="K125" s="16" t="s">
        <v>418</v>
      </c>
      <c r="L125" s="16"/>
      <c r="M125" s="4" t="s">
        <v>404</v>
      </c>
      <c r="N125" s="16"/>
    </row>
    <row r="126" customFormat="false" ht="15" hidden="false" customHeight="false" outlineLevel="0" collapsed="false">
      <c r="A126" s="4" t="s">
        <v>419</v>
      </c>
      <c r="B126" s="4" t="s">
        <v>420</v>
      </c>
      <c r="C126" s="4" t="n">
        <v>3</v>
      </c>
      <c r="D126" s="17" t="n">
        <v>2</v>
      </c>
      <c r="E126" s="16" t="s">
        <v>119</v>
      </c>
      <c r="F126" s="5" t="n">
        <v>46539</v>
      </c>
      <c r="G126" s="5" t="n">
        <v>46540</v>
      </c>
      <c r="H126" s="6" t="n">
        <f aca="false">NETWORKDAYS(F126,G126,Tong_quan!$F$4:$F$40)</f>
        <v>2</v>
      </c>
      <c r="I126" s="16" t="s">
        <v>75</v>
      </c>
      <c r="J126" s="16" t="s">
        <v>141</v>
      </c>
      <c r="K126" s="16" t="s">
        <v>409</v>
      </c>
      <c r="L126" s="16"/>
      <c r="M126" s="4" t="s">
        <v>404</v>
      </c>
      <c r="N126" s="16"/>
    </row>
    <row r="127" customFormat="false" ht="15" hidden="false" customHeight="false" outlineLevel="0" collapsed="false">
      <c r="A127" s="4" t="s">
        <v>421</v>
      </c>
      <c r="B127" s="4" t="s">
        <v>422</v>
      </c>
      <c r="C127" s="4" t="n">
        <v>3</v>
      </c>
      <c r="D127" s="17" t="n">
        <v>6</v>
      </c>
      <c r="E127" s="16" t="s">
        <v>147</v>
      </c>
      <c r="F127" s="5" t="n">
        <v>46534</v>
      </c>
      <c r="G127" s="5" t="n">
        <v>46539</v>
      </c>
      <c r="H127" s="6" t="n">
        <f aca="false">NETWORKDAYS(F127,G127,Tong_quan!$F$4:$F$40)</f>
        <v>4</v>
      </c>
      <c r="I127" s="16" t="s">
        <v>75</v>
      </c>
      <c r="J127" s="16" t="s">
        <v>141</v>
      </c>
      <c r="K127" s="16" t="s">
        <v>423</v>
      </c>
      <c r="L127" s="16"/>
      <c r="M127" s="4" t="s">
        <v>404</v>
      </c>
      <c r="N127" s="16"/>
    </row>
    <row r="128" customFormat="false" ht="15" hidden="false" customHeight="false" outlineLevel="0" collapsed="false">
      <c r="A128" s="4" t="s">
        <v>424</v>
      </c>
      <c r="B128" s="4" t="s">
        <v>425</v>
      </c>
      <c r="C128" s="4" t="n">
        <v>3</v>
      </c>
      <c r="D128" s="17" t="n">
        <v>4</v>
      </c>
      <c r="E128" s="16" t="s">
        <v>115</v>
      </c>
      <c r="F128" s="5" t="n">
        <v>46540</v>
      </c>
      <c r="G128" s="5" t="n">
        <v>46545</v>
      </c>
      <c r="H128" s="6" t="n">
        <f aca="false">NETWORKDAYS(F128,G128,Tong_quan!$F$4:$F$40)</f>
        <v>4</v>
      </c>
      <c r="I128" s="16" t="s">
        <v>75</v>
      </c>
      <c r="J128" s="16" t="s">
        <v>161</v>
      </c>
      <c r="K128" s="16" t="s">
        <v>426</v>
      </c>
      <c r="L128" s="16"/>
      <c r="M128" s="4" t="s">
        <v>404</v>
      </c>
      <c r="N128" s="16"/>
    </row>
    <row r="129" customFormat="false" ht="15" hidden="false" customHeight="false" outlineLevel="0" collapsed="false">
      <c r="A129" s="4" t="s">
        <v>427</v>
      </c>
      <c r="B129" s="4" t="s">
        <v>428</v>
      </c>
      <c r="C129" s="4" t="n">
        <v>3</v>
      </c>
      <c r="D129" s="17" t="n">
        <v>2</v>
      </c>
      <c r="E129" s="16" t="s">
        <v>137</v>
      </c>
      <c r="F129" s="5" t="n">
        <v>46568</v>
      </c>
      <c r="G129" s="5" t="n">
        <v>46569</v>
      </c>
      <c r="H129" s="6" t="n">
        <f aca="false">NETWORKDAYS(F129,G129,Tong_quan!$F$4:$F$40)</f>
        <v>2</v>
      </c>
      <c r="I129" s="16" t="s">
        <v>75</v>
      </c>
      <c r="J129" s="16" t="s">
        <v>166</v>
      </c>
      <c r="K129" s="16" t="s">
        <v>415</v>
      </c>
      <c r="L129" s="16"/>
      <c r="M129" s="4" t="s">
        <v>404</v>
      </c>
      <c r="N129" s="16"/>
    </row>
    <row r="130" customFormat="false" ht="15" hidden="false" customHeight="false" outlineLevel="0" collapsed="false">
      <c r="A130" s="4" t="s">
        <v>429</v>
      </c>
      <c r="B130" s="4" t="s">
        <v>430</v>
      </c>
      <c r="C130" s="4" t="n">
        <v>3</v>
      </c>
      <c r="D130" s="17" t="n">
        <v>3</v>
      </c>
      <c r="E130" s="16" t="s">
        <v>84</v>
      </c>
      <c r="F130" s="5" t="n">
        <v>46577</v>
      </c>
      <c r="G130" s="5" t="n">
        <v>46581</v>
      </c>
      <c r="H130" s="6" t="n">
        <f aca="false">NETWORKDAYS(F130,G130,Tong_quan!$F$4:$F$40)</f>
        <v>3</v>
      </c>
      <c r="I130" s="16" t="s">
        <v>75</v>
      </c>
      <c r="J130" s="16" t="s">
        <v>170</v>
      </c>
      <c r="K130" s="16" t="s">
        <v>431</v>
      </c>
      <c r="L130" s="16"/>
      <c r="M130" s="4" t="s">
        <v>404</v>
      </c>
      <c r="N130" s="16"/>
    </row>
    <row r="131" customFormat="false" ht="15" hidden="false" customHeight="false" outlineLevel="0" collapsed="false">
      <c r="A131" s="4" t="s">
        <v>432</v>
      </c>
      <c r="B131" s="4" t="s">
        <v>433</v>
      </c>
      <c r="C131" s="4" t="n">
        <v>3</v>
      </c>
      <c r="D131" s="17" t="n">
        <v>5</v>
      </c>
      <c r="E131" s="16" t="s">
        <v>187</v>
      </c>
      <c r="F131" s="5" t="n">
        <v>46539</v>
      </c>
      <c r="G131" s="5" t="n">
        <v>46545</v>
      </c>
      <c r="H131" s="6" t="n">
        <f aca="false">NETWORKDAYS(F131,G131,Tong_quan!$F$4:$F$40)</f>
        <v>5</v>
      </c>
      <c r="I131" s="16" t="s">
        <v>75</v>
      </c>
      <c r="J131" s="16" t="s">
        <v>161</v>
      </c>
      <c r="K131" s="16" t="s">
        <v>434</v>
      </c>
      <c r="L131" s="16"/>
      <c r="M131" s="4" t="s">
        <v>404</v>
      </c>
      <c r="N131" s="16"/>
    </row>
    <row r="132" customFormat="false" ht="15" hidden="false" customHeight="false" outlineLevel="0" collapsed="false">
      <c r="A132" s="4" t="s">
        <v>435</v>
      </c>
      <c r="B132" s="4" t="s">
        <v>436</v>
      </c>
      <c r="C132" s="4" t="n">
        <v>3</v>
      </c>
      <c r="D132" s="17" t="n">
        <v>3</v>
      </c>
      <c r="E132" s="16" t="s">
        <v>178</v>
      </c>
      <c r="F132" s="5" t="n">
        <v>46560</v>
      </c>
      <c r="G132" s="5" t="n">
        <v>46562</v>
      </c>
      <c r="H132" s="6" t="n">
        <f aca="false">NETWORKDAYS(F132,G132,Tong_quan!$F$4:$F$40)</f>
        <v>3</v>
      </c>
      <c r="I132" s="16" t="s">
        <v>75</v>
      </c>
      <c r="J132" s="16" t="s">
        <v>166</v>
      </c>
      <c r="K132" s="16" t="s">
        <v>437</v>
      </c>
      <c r="L132" s="16"/>
      <c r="M132" s="4" t="s">
        <v>404</v>
      </c>
      <c r="N132" s="16"/>
    </row>
    <row r="133" customFormat="false" ht="15" hidden="false" customHeight="false" outlineLevel="0" collapsed="false">
      <c r="A133" s="4" t="s">
        <v>438</v>
      </c>
      <c r="B133" s="4" t="s">
        <v>439</v>
      </c>
      <c r="C133" s="4" t="n">
        <v>3</v>
      </c>
      <c r="D133" s="17" t="n">
        <v>10</v>
      </c>
      <c r="E133" s="16" t="s">
        <v>440</v>
      </c>
      <c r="F133" s="5" t="n">
        <v>46554</v>
      </c>
      <c r="G133" s="5" t="n">
        <v>46561</v>
      </c>
      <c r="H133" s="6" t="n">
        <f aca="false">NETWORKDAYS(F133,G133,Tong_quan!$F$4:$F$40)</f>
        <v>6</v>
      </c>
      <c r="I133" s="16" t="s">
        <v>75</v>
      </c>
      <c r="J133" s="16" t="s">
        <v>179</v>
      </c>
      <c r="K133" s="16" t="s">
        <v>441</v>
      </c>
      <c r="L133" s="16" t="s">
        <v>189</v>
      </c>
      <c r="M133" s="4" t="s">
        <v>404</v>
      </c>
      <c r="N133" s="16"/>
    </row>
    <row r="134" customFormat="false" ht="15" hidden="false" customHeight="false" outlineLevel="0" collapsed="false">
      <c r="A134" s="4" t="s">
        <v>442</v>
      </c>
      <c r="B134" s="4" t="s">
        <v>443</v>
      </c>
      <c r="C134" s="4" t="n">
        <v>3</v>
      </c>
      <c r="D134" s="17" t="n">
        <v>8</v>
      </c>
      <c r="E134" s="16" t="s">
        <v>178</v>
      </c>
      <c r="F134" s="5" t="n">
        <v>46584</v>
      </c>
      <c r="G134" s="5" t="n">
        <v>46595</v>
      </c>
      <c r="H134" s="6" t="n">
        <f aca="false">NETWORKDAYS(F134,G134,Tong_quan!$F$4:$F$40)</f>
        <v>8</v>
      </c>
      <c r="I134" s="16" t="s">
        <v>75</v>
      </c>
      <c r="J134" s="16" t="s">
        <v>183</v>
      </c>
      <c r="K134" s="16" t="s">
        <v>188</v>
      </c>
      <c r="L134" s="16" t="s">
        <v>189</v>
      </c>
      <c r="M134" s="4" t="s">
        <v>404</v>
      </c>
      <c r="N134" s="16" t="s">
        <v>190</v>
      </c>
    </row>
    <row r="135" customFormat="false" ht="15" hidden="false" customHeight="false" outlineLevel="0" collapsed="false">
      <c r="A135" s="4" t="s">
        <v>444</v>
      </c>
      <c r="B135" s="4" t="s">
        <v>445</v>
      </c>
      <c r="C135" s="4" t="n">
        <v>3</v>
      </c>
      <c r="D135" s="17" t="n">
        <v>8</v>
      </c>
      <c r="E135" s="16" t="s">
        <v>165</v>
      </c>
      <c r="F135" s="5" t="n">
        <v>46584</v>
      </c>
      <c r="G135" s="5" t="n">
        <v>46595</v>
      </c>
      <c r="H135" s="6" t="n">
        <f aca="false">NETWORKDAYS(F135,G135,Tong_quan!$F$4:$F$40)</f>
        <v>8</v>
      </c>
      <c r="I135" s="16" t="s">
        <v>75</v>
      </c>
      <c r="J135" s="16" t="s">
        <v>183</v>
      </c>
      <c r="K135" s="16" t="s">
        <v>72</v>
      </c>
      <c r="L135" s="16" t="s">
        <v>189</v>
      </c>
      <c r="M135" s="4" t="s">
        <v>404</v>
      </c>
      <c r="N135" s="16" t="s">
        <v>193</v>
      </c>
    </row>
    <row r="136" customFormat="false" ht="15" hidden="false" customHeight="false" outlineLevel="0" collapsed="false">
      <c r="A136" s="3" t="s">
        <v>446</v>
      </c>
      <c r="B136" s="3" t="s">
        <v>447</v>
      </c>
      <c r="C136" s="4" t="n">
        <v>2</v>
      </c>
      <c r="D136" s="14" t="n">
        <f aca="false">SUMIFS(D:D,M:M,A136)</f>
        <v>12</v>
      </c>
      <c r="E136" s="4"/>
      <c r="F136" s="15" t="n">
        <f aca="false">_xlfn.MINIFS(F:F,M:M,A136)</f>
        <v>46553</v>
      </c>
      <c r="G136" s="15" t="n">
        <f aca="false">_xlfn.MAXIFS(G:G,M:M,A136)</f>
        <v>46597</v>
      </c>
      <c r="H136" s="6" t="n">
        <f aca="false">NETWORKDAYS(F136,G136,Tong_quan!$F$4:$F$40)</f>
        <v>33</v>
      </c>
      <c r="I136" s="16" t="s">
        <v>75</v>
      </c>
      <c r="J136" s="16" t="s">
        <v>308</v>
      </c>
      <c r="K136" s="4"/>
      <c r="L136" s="4"/>
      <c r="M136" s="4" t="s">
        <v>319</v>
      </c>
      <c r="N136" s="16"/>
    </row>
    <row r="137" customFormat="false" ht="15" hidden="false" customHeight="false" outlineLevel="0" collapsed="false">
      <c r="A137" s="4" t="s">
        <v>448</v>
      </c>
      <c r="B137" s="4" t="s">
        <v>449</v>
      </c>
      <c r="C137" s="4" t="n">
        <v>3</v>
      </c>
      <c r="D137" s="17" t="n">
        <v>3</v>
      </c>
      <c r="E137" s="16" t="s">
        <v>84</v>
      </c>
      <c r="F137" s="5" t="n">
        <v>46553</v>
      </c>
      <c r="G137" s="5" t="n">
        <v>46555</v>
      </c>
      <c r="H137" s="6" t="n">
        <f aca="false">NETWORKDAYS(F137,G137,Tong_quan!$F$4:$F$40)</f>
        <v>3</v>
      </c>
      <c r="I137" s="16" t="s">
        <v>75</v>
      </c>
      <c r="J137" s="16" t="s">
        <v>155</v>
      </c>
      <c r="K137" s="16" t="s">
        <v>450</v>
      </c>
      <c r="L137" s="16"/>
      <c r="M137" s="4" t="s">
        <v>446</v>
      </c>
      <c r="N137" s="16" t="s">
        <v>451</v>
      </c>
    </row>
    <row r="138" customFormat="false" ht="15" hidden="false" customHeight="false" outlineLevel="0" collapsed="false">
      <c r="A138" s="4" t="s">
        <v>452</v>
      </c>
      <c r="B138" s="4" t="s">
        <v>453</v>
      </c>
      <c r="C138" s="4" t="n">
        <v>3</v>
      </c>
      <c r="D138" s="17" t="n">
        <v>4</v>
      </c>
      <c r="E138" s="16" t="s">
        <v>249</v>
      </c>
      <c r="F138" s="5" t="n">
        <v>46561</v>
      </c>
      <c r="G138" s="5" t="n">
        <v>46567</v>
      </c>
      <c r="H138" s="6" t="n">
        <f aca="false">NETWORKDAYS(F138,G138,Tong_quan!$F$4:$F$40)</f>
        <v>5</v>
      </c>
      <c r="I138" s="16" t="s">
        <v>75</v>
      </c>
      <c r="J138" s="16" t="s">
        <v>166</v>
      </c>
      <c r="K138" s="16" t="s">
        <v>454</v>
      </c>
      <c r="L138" s="16"/>
      <c r="M138" s="4" t="s">
        <v>446</v>
      </c>
      <c r="N138" s="16" t="s">
        <v>327</v>
      </c>
    </row>
    <row r="139" customFormat="false" ht="15" hidden="false" customHeight="false" outlineLevel="0" collapsed="false">
      <c r="A139" s="4" t="s">
        <v>455</v>
      </c>
      <c r="B139" s="4" t="s">
        <v>456</v>
      </c>
      <c r="C139" s="4" t="n">
        <v>3</v>
      </c>
      <c r="D139" s="17" t="n">
        <v>3</v>
      </c>
      <c r="E139" s="16" t="s">
        <v>249</v>
      </c>
      <c r="F139" s="5" t="n">
        <v>46568</v>
      </c>
      <c r="G139" s="5" t="n">
        <v>46570</v>
      </c>
      <c r="H139" s="6" t="n">
        <f aca="false">NETWORKDAYS(F139,G139,Tong_quan!$F$4:$F$40)</f>
        <v>3</v>
      </c>
      <c r="I139" s="16" t="s">
        <v>75</v>
      </c>
      <c r="J139" s="16" t="s">
        <v>290</v>
      </c>
      <c r="K139" s="16" t="s">
        <v>457</v>
      </c>
      <c r="L139" s="16"/>
      <c r="M139" s="4" t="s">
        <v>446</v>
      </c>
      <c r="N139" s="16"/>
    </row>
    <row r="140" customFormat="false" ht="15" hidden="false" customHeight="false" outlineLevel="0" collapsed="false">
      <c r="A140" s="4" t="s">
        <v>458</v>
      </c>
      <c r="B140" s="4" t="s">
        <v>459</v>
      </c>
      <c r="C140" s="4" t="n">
        <v>3</v>
      </c>
      <c r="D140" s="17" t="n">
        <v>2</v>
      </c>
      <c r="E140" s="16" t="s">
        <v>460</v>
      </c>
      <c r="F140" s="5" t="n">
        <v>46597</v>
      </c>
      <c r="G140" s="5" t="n">
        <v>46597</v>
      </c>
      <c r="H140" s="6" t="n">
        <f aca="false">NETWORKDAYS(F140,G140,Tong_quan!$F$4:$F$40)</f>
        <v>1</v>
      </c>
      <c r="I140" s="16" t="s">
        <v>75</v>
      </c>
      <c r="J140" s="16" t="s">
        <v>183</v>
      </c>
      <c r="K140" s="16" t="s">
        <v>200</v>
      </c>
      <c r="L140" s="16" t="s">
        <v>189</v>
      </c>
      <c r="M140" s="4" t="s">
        <v>446</v>
      </c>
      <c r="N140" s="16" t="s">
        <v>461</v>
      </c>
    </row>
    <row r="141" customFormat="false" ht="15" hidden="false" customHeight="false" outlineLevel="0" collapsed="false">
      <c r="A141" s="3" t="s">
        <v>462</v>
      </c>
      <c r="B141" s="3" t="s">
        <v>463</v>
      </c>
      <c r="C141" s="4" t="n">
        <v>1</v>
      </c>
      <c r="D141" s="14" t="n">
        <f aca="false">SUMIFS(D:D,M:M,A141)</f>
        <v>152</v>
      </c>
      <c r="E141" s="4"/>
      <c r="F141" s="15" t="n">
        <f aca="false">_xlfn.MINIFS(F:F,M:M,A141)</f>
        <v>46464</v>
      </c>
      <c r="G141" s="15" t="n">
        <f aca="false">_xlfn.MAXIFS(G:G,M:M,A141)</f>
        <v>46597</v>
      </c>
      <c r="H141" s="6" t="n">
        <f aca="false">NETWORKDAYS(F141,G141,Tong_quan!$F$4:$F$40)</f>
        <v>93</v>
      </c>
      <c r="I141" s="16" t="s">
        <v>464</v>
      </c>
      <c r="J141" s="16"/>
      <c r="K141" s="4"/>
      <c r="L141" s="4"/>
      <c r="M141" s="4"/>
      <c r="N141" s="16"/>
    </row>
    <row r="142" customFormat="false" ht="15" hidden="false" customHeight="false" outlineLevel="0" collapsed="false">
      <c r="A142" s="3" t="s">
        <v>465</v>
      </c>
      <c r="B142" s="3" t="s">
        <v>466</v>
      </c>
      <c r="C142" s="4" t="n">
        <v>2</v>
      </c>
      <c r="D142" s="14" t="n">
        <f aca="false">SUMIFS(D:D,M:M,A142)</f>
        <v>9</v>
      </c>
      <c r="E142" s="4"/>
      <c r="F142" s="15" t="n">
        <f aca="false">_xlfn.MINIFS(F:F,M:M,A142)</f>
        <v>46464</v>
      </c>
      <c r="G142" s="15" t="n">
        <f aca="false">_xlfn.MAXIFS(G:G,M:M,A142)</f>
        <v>46597</v>
      </c>
      <c r="H142" s="6" t="n">
        <f aca="false">NETWORKDAYS(F142,G142,Tong_quan!$F$4:$F$40)</f>
        <v>93</v>
      </c>
      <c r="I142" s="16" t="s">
        <v>65</v>
      </c>
      <c r="J142" s="16"/>
      <c r="K142" s="4"/>
      <c r="L142" s="4"/>
      <c r="M142" s="4" t="s">
        <v>462</v>
      </c>
      <c r="N142" s="16"/>
    </row>
    <row r="143" customFormat="false" ht="15" hidden="false" customHeight="false" outlineLevel="0" collapsed="false">
      <c r="A143" s="4" t="s">
        <v>467</v>
      </c>
      <c r="B143" s="4" t="s">
        <v>468</v>
      </c>
      <c r="C143" s="4" t="n">
        <v>3</v>
      </c>
      <c r="D143" s="17" t="n">
        <v>3.5</v>
      </c>
      <c r="E143" s="16" t="s">
        <v>64</v>
      </c>
      <c r="F143" s="5" t="n">
        <v>46464</v>
      </c>
      <c r="G143" s="5" t="n">
        <v>46597</v>
      </c>
      <c r="H143" s="6" t="n">
        <f aca="false">NETWORKDAYS(F143,G143,Tong_quan!$F$4:$F$40)</f>
        <v>93</v>
      </c>
      <c r="I143" s="16" t="s">
        <v>65</v>
      </c>
      <c r="J143" s="16"/>
      <c r="K143" s="16"/>
      <c r="L143" s="16"/>
      <c r="M143" s="4" t="s">
        <v>465</v>
      </c>
      <c r="N143" s="16"/>
    </row>
    <row r="144" customFormat="false" ht="15" hidden="false" customHeight="false" outlineLevel="0" collapsed="false">
      <c r="A144" s="4" t="s">
        <v>469</v>
      </c>
      <c r="B144" s="4" t="s">
        <v>470</v>
      </c>
      <c r="C144" s="4" t="n">
        <v>3</v>
      </c>
      <c r="D144" s="17" t="n">
        <v>2</v>
      </c>
      <c r="E144" s="16" t="s">
        <v>64</v>
      </c>
      <c r="F144" s="5" t="n">
        <v>46464</v>
      </c>
      <c r="G144" s="5" t="n">
        <v>46597</v>
      </c>
      <c r="H144" s="6" t="n">
        <f aca="false">NETWORKDAYS(F144,G144,Tong_quan!$F$4:$F$40)</f>
        <v>93</v>
      </c>
      <c r="I144" s="16" t="s">
        <v>65</v>
      </c>
      <c r="J144" s="16"/>
      <c r="K144" s="16"/>
      <c r="L144" s="16"/>
      <c r="M144" s="4" t="s">
        <v>465</v>
      </c>
      <c r="N144" s="16"/>
    </row>
    <row r="145" customFormat="false" ht="15" hidden="false" customHeight="false" outlineLevel="0" collapsed="false">
      <c r="A145" s="4" t="s">
        <v>471</v>
      </c>
      <c r="B145" s="4" t="s">
        <v>472</v>
      </c>
      <c r="C145" s="4" t="n">
        <v>3</v>
      </c>
      <c r="D145" s="17" t="n">
        <v>3.5</v>
      </c>
      <c r="E145" s="16" t="s">
        <v>64</v>
      </c>
      <c r="F145" s="5" t="n">
        <v>46464</v>
      </c>
      <c r="G145" s="5" t="n">
        <v>46597</v>
      </c>
      <c r="H145" s="6" t="n">
        <f aca="false">NETWORKDAYS(F145,G145,Tong_quan!$F$4:$F$40)</f>
        <v>93</v>
      </c>
      <c r="I145" s="16" t="s">
        <v>65</v>
      </c>
      <c r="J145" s="16"/>
      <c r="K145" s="16"/>
      <c r="L145" s="16"/>
      <c r="M145" s="4" t="s">
        <v>465</v>
      </c>
      <c r="N145" s="16"/>
    </row>
    <row r="146" customFormat="false" ht="15" hidden="false" customHeight="false" outlineLevel="0" collapsed="false">
      <c r="A146" s="3" t="s">
        <v>473</v>
      </c>
      <c r="B146" s="3" t="s">
        <v>474</v>
      </c>
      <c r="C146" s="4" t="n">
        <v>2</v>
      </c>
      <c r="D146" s="14" t="n">
        <f aca="false">SUMIFS(D:D,M:M,A146)</f>
        <v>27</v>
      </c>
      <c r="E146" s="4"/>
      <c r="F146" s="15" t="n">
        <f aca="false">_xlfn.MINIFS(F:F,M:M,A146)</f>
        <v>46464</v>
      </c>
      <c r="G146" s="15" t="n">
        <f aca="false">_xlfn.MAXIFS(G:G,M:M,A146)</f>
        <v>46524</v>
      </c>
      <c r="H146" s="6" t="n">
        <f aca="false">NETWORKDAYS(F146,G146,Tong_quan!$F$4:$F$40)</f>
        <v>40</v>
      </c>
      <c r="I146" s="16" t="s">
        <v>75</v>
      </c>
      <c r="J146" s="16" t="s">
        <v>76</v>
      </c>
      <c r="K146" s="4"/>
      <c r="L146" s="4"/>
      <c r="M146" s="4" t="s">
        <v>462</v>
      </c>
      <c r="N146" s="16"/>
    </row>
    <row r="147" customFormat="false" ht="15" hidden="false" customHeight="false" outlineLevel="0" collapsed="false">
      <c r="A147" s="4" t="s">
        <v>229</v>
      </c>
      <c r="B147" s="4" t="s">
        <v>475</v>
      </c>
      <c r="C147" s="4" t="n">
        <v>3</v>
      </c>
      <c r="D147" s="17" t="n">
        <v>4</v>
      </c>
      <c r="E147" s="16" t="s">
        <v>84</v>
      </c>
      <c r="F147" s="5" t="n">
        <v>46464</v>
      </c>
      <c r="G147" s="5" t="n">
        <v>46469</v>
      </c>
      <c r="H147" s="6" t="n">
        <f aca="false">NETWORKDAYS(F147,G147,Tong_quan!$F$4:$F$40)</f>
        <v>4</v>
      </c>
      <c r="I147" s="16" t="s">
        <v>75</v>
      </c>
      <c r="J147" s="16" t="s">
        <v>80</v>
      </c>
      <c r="K147" s="16"/>
      <c r="L147" s="16" t="s">
        <v>189</v>
      </c>
      <c r="M147" s="4" t="s">
        <v>473</v>
      </c>
      <c r="N147" s="16"/>
    </row>
    <row r="148" customFormat="false" ht="15" hidden="false" customHeight="false" outlineLevel="0" collapsed="false">
      <c r="A148" s="4" t="s">
        <v>476</v>
      </c>
      <c r="B148" s="4" t="s">
        <v>477</v>
      </c>
      <c r="C148" s="4" t="n">
        <v>3</v>
      </c>
      <c r="D148" s="17" t="n">
        <v>5</v>
      </c>
      <c r="E148" s="16" t="s">
        <v>103</v>
      </c>
      <c r="F148" s="5" t="n">
        <v>46470</v>
      </c>
      <c r="G148" s="5" t="n">
        <v>46476</v>
      </c>
      <c r="H148" s="6" t="n">
        <f aca="false">NETWORKDAYS(F148,G148,Tong_quan!$F$4:$F$40)</f>
        <v>5</v>
      </c>
      <c r="I148" s="16" t="s">
        <v>75</v>
      </c>
      <c r="J148" s="16" t="s">
        <v>80</v>
      </c>
      <c r="K148" s="16" t="s">
        <v>229</v>
      </c>
      <c r="L148" s="16" t="s">
        <v>189</v>
      </c>
      <c r="M148" s="4" t="s">
        <v>473</v>
      </c>
      <c r="N148" s="16"/>
    </row>
    <row r="149" customFormat="false" ht="15" hidden="false" customHeight="false" outlineLevel="0" collapsed="false">
      <c r="A149" s="4" t="s">
        <v>478</v>
      </c>
      <c r="B149" s="4" t="s">
        <v>479</v>
      </c>
      <c r="C149" s="4" t="n">
        <v>3</v>
      </c>
      <c r="D149" s="17" t="n">
        <v>5</v>
      </c>
      <c r="E149" s="16" t="s">
        <v>119</v>
      </c>
      <c r="F149" s="5" t="n">
        <v>46478</v>
      </c>
      <c r="G149" s="5" t="n">
        <v>46484</v>
      </c>
      <c r="H149" s="6" t="n">
        <f aca="false">NETWORKDAYS(F149,G149,Tong_quan!$F$4:$F$40)</f>
        <v>5</v>
      </c>
      <c r="I149" s="16" t="s">
        <v>75</v>
      </c>
      <c r="J149" s="16" t="s">
        <v>85</v>
      </c>
      <c r="K149" s="16" t="s">
        <v>480</v>
      </c>
      <c r="L149" s="16" t="s">
        <v>189</v>
      </c>
      <c r="M149" s="4" t="s">
        <v>473</v>
      </c>
      <c r="N149" s="16"/>
    </row>
    <row r="150" customFormat="false" ht="15" hidden="false" customHeight="false" outlineLevel="0" collapsed="false">
      <c r="A150" s="4" t="s">
        <v>481</v>
      </c>
      <c r="B150" s="4" t="s">
        <v>482</v>
      </c>
      <c r="C150" s="4" t="n">
        <v>3</v>
      </c>
      <c r="D150" s="17" t="n">
        <v>3</v>
      </c>
      <c r="E150" s="16" t="s">
        <v>103</v>
      </c>
      <c r="F150" s="5" t="n">
        <v>46485</v>
      </c>
      <c r="G150" s="5" t="n">
        <v>46489</v>
      </c>
      <c r="H150" s="6" t="n">
        <f aca="false">NETWORKDAYS(F150,G150,Tong_quan!$F$4:$F$40)</f>
        <v>3</v>
      </c>
      <c r="I150" s="16" t="s">
        <v>75</v>
      </c>
      <c r="J150" s="16" t="s">
        <v>85</v>
      </c>
      <c r="K150" s="16" t="s">
        <v>476</v>
      </c>
      <c r="L150" s="16"/>
      <c r="M150" s="4" t="s">
        <v>473</v>
      </c>
      <c r="N150" s="16"/>
    </row>
    <row r="151" customFormat="false" ht="15" hidden="false" customHeight="false" outlineLevel="0" collapsed="false">
      <c r="A151" s="4" t="s">
        <v>483</v>
      </c>
      <c r="B151" s="4" t="s">
        <v>484</v>
      </c>
      <c r="C151" s="4" t="n">
        <v>3</v>
      </c>
      <c r="D151" s="17" t="n">
        <v>4</v>
      </c>
      <c r="E151" s="16" t="s">
        <v>60</v>
      </c>
      <c r="F151" s="5" t="n">
        <v>46491</v>
      </c>
      <c r="G151" s="5" t="n">
        <v>46506</v>
      </c>
      <c r="H151" s="6" t="n">
        <f aca="false">NETWORKDAYS(F151,G151,Tong_quan!$F$4:$F$40)</f>
        <v>11</v>
      </c>
      <c r="I151" s="16" t="s">
        <v>75</v>
      </c>
      <c r="J151" s="16" t="s">
        <v>104</v>
      </c>
      <c r="K151" s="16" t="s">
        <v>229</v>
      </c>
      <c r="L151" s="16"/>
      <c r="M151" s="4" t="s">
        <v>473</v>
      </c>
      <c r="N151" s="16" t="s">
        <v>485</v>
      </c>
    </row>
    <row r="152" customFormat="false" ht="15" hidden="false" customHeight="false" outlineLevel="0" collapsed="false">
      <c r="A152" s="4" t="s">
        <v>486</v>
      </c>
      <c r="B152" s="4" t="s">
        <v>487</v>
      </c>
      <c r="C152" s="4" t="n">
        <v>3</v>
      </c>
      <c r="D152" s="17" t="n">
        <v>2</v>
      </c>
      <c r="E152" s="16" t="s">
        <v>60</v>
      </c>
      <c r="F152" s="5" t="n">
        <v>46518</v>
      </c>
      <c r="G152" s="5" t="n">
        <v>46524</v>
      </c>
      <c r="H152" s="6" t="n">
        <f aca="false">NETWORKDAYS(F152,G152,Tong_quan!$F$4:$F$40)</f>
        <v>5</v>
      </c>
      <c r="I152" s="16" t="s">
        <v>75</v>
      </c>
      <c r="J152" s="16" t="s">
        <v>120</v>
      </c>
      <c r="K152" s="16" t="s">
        <v>483</v>
      </c>
      <c r="L152" s="16"/>
      <c r="M152" s="4" t="s">
        <v>473</v>
      </c>
      <c r="N152" s="16" t="s">
        <v>327</v>
      </c>
    </row>
    <row r="153" customFormat="false" ht="15" hidden="false" customHeight="false" outlineLevel="0" collapsed="false">
      <c r="A153" s="4" t="s">
        <v>488</v>
      </c>
      <c r="B153" s="4" t="s">
        <v>489</v>
      </c>
      <c r="C153" s="4" t="n">
        <v>3</v>
      </c>
      <c r="D153" s="17" t="n">
        <v>4</v>
      </c>
      <c r="E153" s="16" t="s">
        <v>119</v>
      </c>
      <c r="F153" s="5" t="n">
        <v>46511</v>
      </c>
      <c r="G153" s="5" t="n">
        <v>46514</v>
      </c>
      <c r="H153" s="6" t="n">
        <f aca="false">NETWORKDAYS(F153,G153,Tong_quan!$F$4:$F$40)</f>
        <v>4</v>
      </c>
      <c r="I153" s="16" t="s">
        <v>75</v>
      </c>
      <c r="J153" s="16" t="s">
        <v>108</v>
      </c>
      <c r="K153" s="16" t="s">
        <v>490</v>
      </c>
      <c r="L153" s="16" t="s">
        <v>189</v>
      </c>
      <c r="M153" s="4" t="s">
        <v>473</v>
      </c>
      <c r="N153" s="16"/>
    </row>
    <row r="154" customFormat="false" ht="15" hidden="false" customHeight="false" outlineLevel="0" collapsed="false">
      <c r="A154" s="3" t="s">
        <v>491</v>
      </c>
      <c r="B154" s="3" t="s">
        <v>492</v>
      </c>
      <c r="C154" s="4" t="n">
        <v>2</v>
      </c>
      <c r="D154" s="14" t="n">
        <f aca="false">SUMIFS(D:D,M:M,A154)</f>
        <v>51</v>
      </c>
      <c r="E154" s="4"/>
      <c r="F154" s="15" t="n">
        <f aca="false">_xlfn.MINIFS(F:F,M:M,A154)</f>
        <v>46464</v>
      </c>
      <c r="G154" s="15" t="n">
        <f aca="false">_xlfn.MAXIFS(G:G,M:M,A154)</f>
        <v>46539</v>
      </c>
      <c r="H154" s="6" t="n">
        <f aca="false">NETWORKDAYS(F154,G154,Tong_quan!$F$4:$F$40)</f>
        <v>51</v>
      </c>
      <c r="I154" s="16" t="s">
        <v>75</v>
      </c>
      <c r="J154" s="16" t="s">
        <v>493</v>
      </c>
      <c r="K154" s="4"/>
      <c r="L154" s="4"/>
      <c r="M154" s="4" t="s">
        <v>462</v>
      </c>
      <c r="N154" s="16"/>
    </row>
    <row r="155" customFormat="false" ht="15" hidden="false" customHeight="false" outlineLevel="0" collapsed="false">
      <c r="A155" s="4" t="s">
        <v>494</v>
      </c>
      <c r="B155" s="4" t="s">
        <v>495</v>
      </c>
      <c r="C155" s="4" t="n">
        <v>3</v>
      </c>
      <c r="D155" s="17" t="n">
        <v>8</v>
      </c>
      <c r="E155" s="16" t="s">
        <v>496</v>
      </c>
      <c r="F155" s="5" t="n">
        <v>46464</v>
      </c>
      <c r="G155" s="5" t="n">
        <v>46469</v>
      </c>
      <c r="H155" s="6" t="n">
        <f aca="false">NETWORKDAYS(F155,G155,Tong_quan!$F$4:$F$40)</f>
        <v>4</v>
      </c>
      <c r="I155" s="16" t="s">
        <v>75</v>
      </c>
      <c r="J155" s="16" t="s">
        <v>80</v>
      </c>
      <c r="K155" s="16"/>
      <c r="L155" s="16"/>
      <c r="M155" s="4" t="s">
        <v>491</v>
      </c>
      <c r="N155" s="16"/>
    </row>
    <row r="156" customFormat="false" ht="15" hidden="false" customHeight="false" outlineLevel="0" collapsed="false">
      <c r="A156" s="4" t="s">
        <v>497</v>
      </c>
      <c r="B156" s="4" t="s">
        <v>498</v>
      </c>
      <c r="C156" s="4" t="n">
        <v>3</v>
      </c>
      <c r="D156" s="17" t="n">
        <v>6</v>
      </c>
      <c r="E156" s="16" t="s">
        <v>499</v>
      </c>
      <c r="F156" s="5" t="n">
        <v>46486</v>
      </c>
      <c r="G156" s="5" t="n">
        <v>46490</v>
      </c>
      <c r="H156" s="6" t="n">
        <f aca="false">NETWORKDAYS(F156,G156,Tong_quan!$F$4:$F$40)</f>
        <v>3</v>
      </c>
      <c r="I156" s="16" t="s">
        <v>75</v>
      </c>
      <c r="J156" s="16" t="s">
        <v>85</v>
      </c>
      <c r="K156" s="16" t="s">
        <v>500</v>
      </c>
      <c r="L156" s="16"/>
      <c r="M156" s="4" t="s">
        <v>491</v>
      </c>
      <c r="N156" s="16"/>
    </row>
    <row r="157" customFormat="false" ht="15" hidden="false" customHeight="false" outlineLevel="0" collapsed="false">
      <c r="A157" s="4" t="s">
        <v>501</v>
      </c>
      <c r="B157" s="4" t="s">
        <v>502</v>
      </c>
      <c r="C157" s="4" t="n">
        <v>3</v>
      </c>
      <c r="D157" s="17" t="n">
        <v>5</v>
      </c>
      <c r="E157" s="16" t="s">
        <v>92</v>
      </c>
      <c r="F157" s="5" t="n">
        <v>46469</v>
      </c>
      <c r="G157" s="5" t="n">
        <v>46475</v>
      </c>
      <c r="H157" s="6" t="n">
        <f aca="false">NETWORKDAYS(F157,G157,Tong_quan!$F$4:$F$40)</f>
        <v>5</v>
      </c>
      <c r="I157" s="16" t="s">
        <v>75</v>
      </c>
      <c r="J157" s="16" t="s">
        <v>80</v>
      </c>
      <c r="K157" s="16"/>
      <c r="L157" s="16"/>
      <c r="M157" s="4" t="s">
        <v>491</v>
      </c>
      <c r="N157" s="16"/>
    </row>
    <row r="158" customFormat="false" ht="15" hidden="false" customHeight="false" outlineLevel="0" collapsed="false">
      <c r="A158" s="4" t="s">
        <v>503</v>
      </c>
      <c r="B158" s="4" t="s">
        <v>504</v>
      </c>
      <c r="C158" s="4" t="n">
        <v>3</v>
      </c>
      <c r="D158" s="17" t="n">
        <v>3</v>
      </c>
      <c r="E158" s="16" t="s">
        <v>249</v>
      </c>
      <c r="F158" s="5" t="n">
        <v>46470</v>
      </c>
      <c r="G158" s="5" t="n">
        <v>46472</v>
      </c>
      <c r="H158" s="6" t="n">
        <f aca="false">NETWORKDAYS(F158,G158,Tong_quan!$F$4:$F$40)</f>
        <v>3</v>
      </c>
      <c r="I158" s="16" t="s">
        <v>75</v>
      </c>
      <c r="J158" s="16" t="s">
        <v>80</v>
      </c>
      <c r="K158" s="16" t="s">
        <v>494</v>
      </c>
      <c r="L158" s="16"/>
      <c r="M158" s="4" t="s">
        <v>491</v>
      </c>
      <c r="N158" s="16"/>
    </row>
    <row r="159" customFormat="false" ht="15" hidden="false" customHeight="false" outlineLevel="0" collapsed="false">
      <c r="A159" s="4" t="s">
        <v>505</v>
      </c>
      <c r="B159" s="4" t="s">
        <v>506</v>
      </c>
      <c r="C159" s="4" t="n">
        <v>3</v>
      </c>
      <c r="D159" s="17" t="n">
        <v>5</v>
      </c>
      <c r="E159" s="16" t="s">
        <v>507</v>
      </c>
      <c r="F159" s="5" t="n">
        <v>46521</v>
      </c>
      <c r="G159" s="5" t="n">
        <v>46532</v>
      </c>
      <c r="H159" s="6" t="n">
        <f aca="false">NETWORKDAYS(F159,G159,Tong_quan!$F$4:$F$40)</f>
        <v>8</v>
      </c>
      <c r="I159" s="16" t="s">
        <v>75</v>
      </c>
      <c r="J159" s="16" t="s">
        <v>126</v>
      </c>
      <c r="K159" s="16" t="s">
        <v>508</v>
      </c>
      <c r="L159" s="16"/>
      <c r="M159" s="4" t="s">
        <v>491</v>
      </c>
      <c r="N159" s="16"/>
    </row>
    <row r="160" customFormat="false" ht="15" hidden="false" customHeight="false" outlineLevel="0" collapsed="false">
      <c r="A160" s="4" t="s">
        <v>509</v>
      </c>
      <c r="B160" s="4" t="s">
        <v>510</v>
      </c>
      <c r="C160" s="4" t="n">
        <v>3</v>
      </c>
      <c r="D160" s="17" t="n">
        <v>5</v>
      </c>
      <c r="E160" s="16" t="s">
        <v>115</v>
      </c>
      <c r="F160" s="5" t="n">
        <v>46521</v>
      </c>
      <c r="G160" s="5" t="n">
        <v>46527</v>
      </c>
      <c r="H160" s="6" t="n">
        <f aca="false">NETWORKDAYS(F160,G160,Tong_quan!$F$4:$F$40)</f>
        <v>5</v>
      </c>
      <c r="I160" s="16" t="s">
        <v>75</v>
      </c>
      <c r="J160" s="16" t="s">
        <v>120</v>
      </c>
      <c r="K160" s="16" t="s">
        <v>508</v>
      </c>
      <c r="L160" s="16" t="s">
        <v>189</v>
      </c>
      <c r="M160" s="4" t="s">
        <v>491</v>
      </c>
      <c r="N160" s="16"/>
    </row>
    <row r="161" customFormat="false" ht="15" hidden="false" customHeight="false" outlineLevel="0" collapsed="false">
      <c r="A161" s="4" t="s">
        <v>511</v>
      </c>
      <c r="B161" s="4" t="s">
        <v>512</v>
      </c>
      <c r="C161" s="4" t="n">
        <v>3</v>
      </c>
      <c r="D161" s="17" t="n">
        <v>5</v>
      </c>
      <c r="E161" s="16" t="s">
        <v>249</v>
      </c>
      <c r="F161" s="5" t="n">
        <v>46521</v>
      </c>
      <c r="G161" s="5" t="n">
        <v>46528</v>
      </c>
      <c r="H161" s="6" t="n">
        <f aca="false">NETWORKDAYS(F161,G161,Tong_quan!$F$4:$F$40)</f>
        <v>6</v>
      </c>
      <c r="I161" s="16" t="s">
        <v>75</v>
      </c>
      <c r="J161" s="16" t="s">
        <v>126</v>
      </c>
      <c r="K161" s="16" t="s">
        <v>508</v>
      </c>
      <c r="L161" s="16" t="s">
        <v>189</v>
      </c>
      <c r="M161" s="4" t="s">
        <v>491</v>
      </c>
      <c r="N161" s="16"/>
    </row>
    <row r="162" customFormat="false" ht="15" hidden="false" customHeight="false" outlineLevel="0" collapsed="false">
      <c r="A162" s="4" t="s">
        <v>513</v>
      </c>
      <c r="B162" s="4" t="s">
        <v>514</v>
      </c>
      <c r="C162" s="4" t="n">
        <v>3</v>
      </c>
      <c r="D162" s="17" t="n">
        <v>5</v>
      </c>
      <c r="E162" s="16" t="s">
        <v>119</v>
      </c>
      <c r="F162" s="5" t="n">
        <v>46524</v>
      </c>
      <c r="G162" s="5" t="n">
        <v>46528</v>
      </c>
      <c r="H162" s="6" t="n">
        <f aca="false">NETWORKDAYS(F162,G162,Tong_quan!$F$4:$F$40)</f>
        <v>5</v>
      </c>
      <c r="I162" s="16" t="s">
        <v>75</v>
      </c>
      <c r="J162" s="16" t="s">
        <v>126</v>
      </c>
      <c r="K162" s="16" t="s">
        <v>508</v>
      </c>
      <c r="L162" s="16" t="s">
        <v>189</v>
      </c>
      <c r="M162" s="4" t="s">
        <v>491</v>
      </c>
      <c r="N162" s="16"/>
    </row>
    <row r="163" customFormat="false" ht="15" hidden="false" customHeight="false" outlineLevel="0" collapsed="false">
      <c r="A163" s="4" t="s">
        <v>515</v>
      </c>
      <c r="B163" s="4" t="s">
        <v>516</v>
      </c>
      <c r="C163" s="4" t="n">
        <v>3</v>
      </c>
      <c r="D163" s="17" t="n">
        <v>4</v>
      </c>
      <c r="E163" s="16" t="s">
        <v>165</v>
      </c>
      <c r="F163" s="5" t="n">
        <v>46521</v>
      </c>
      <c r="G163" s="5" t="n">
        <v>46526</v>
      </c>
      <c r="H163" s="6" t="n">
        <f aca="false">NETWORKDAYS(F163,G163,Tong_quan!$F$4:$F$40)</f>
        <v>4</v>
      </c>
      <c r="I163" s="16" t="s">
        <v>75</v>
      </c>
      <c r="J163" s="16" t="s">
        <v>120</v>
      </c>
      <c r="K163" s="16" t="s">
        <v>508</v>
      </c>
      <c r="L163" s="16"/>
      <c r="M163" s="4" t="s">
        <v>491</v>
      </c>
      <c r="N163" s="16"/>
    </row>
    <row r="164" customFormat="false" ht="15" hidden="false" customHeight="false" outlineLevel="0" collapsed="false">
      <c r="A164" s="4" t="s">
        <v>517</v>
      </c>
      <c r="B164" s="4" t="s">
        <v>518</v>
      </c>
      <c r="C164" s="4" t="n">
        <v>3</v>
      </c>
      <c r="D164" s="17" t="n">
        <v>5</v>
      </c>
      <c r="E164" s="16" t="s">
        <v>165</v>
      </c>
      <c r="F164" s="5" t="n">
        <v>46533</v>
      </c>
      <c r="G164" s="5" t="n">
        <v>46539</v>
      </c>
      <c r="H164" s="6" t="n">
        <f aca="false">NETWORKDAYS(F164,G164,Tong_quan!$F$4:$F$40)</f>
        <v>5</v>
      </c>
      <c r="I164" s="16" t="s">
        <v>75</v>
      </c>
      <c r="J164" s="16" t="s">
        <v>141</v>
      </c>
      <c r="K164" s="16" t="s">
        <v>497</v>
      </c>
      <c r="L164" s="16"/>
      <c r="M164" s="4" t="s">
        <v>491</v>
      </c>
      <c r="N164" s="16"/>
    </row>
    <row r="165" customFormat="false" ht="15" hidden="false" customHeight="false" outlineLevel="0" collapsed="false">
      <c r="A165" s="3" t="s">
        <v>519</v>
      </c>
      <c r="B165" s="3" t="s">
        <v>520</v>
      </c>
      <c r="C165" s="4" t="n">
        <v>2</v>
      </c>
      <c r="D165" s="14" t="n">
        <f aca="false">SUMIFS(D:D,M:M,A165)</f>
        <v>40</v>
      </c>
      <c r="E165" s="4"/>
      <c r="F165" s="15" t="n">
        <f aca="false">_xlfn.MINIFS(F:F,M:M,A165)</f>
        <v>46511</v>
      </c>
      <c r="G165" s="15" t="n">
        <f aca="false">_xlfn.MAXIFS(G:G,M:M,A165)</f>
        <v>46590</v>
      </c>
      <c r="H165" s="6" t="n">
        <f aca="false">NETWORKDAYS(F165,G165,Tong_quan!$F$4:$F$40)</f>
        <v>58</v>
      </c>
      <c r="I165" s="16" t="s">
        <v>75</v>
      </c>
      <c r="J165" s="16" t="s">
        <v>270</v>
      </c>
      <c r="K165" s="4"/>
      <c r="L165" s="4"/>
      <c r="M165" s="4" t="s">
        <v>462</v>
      </c>
      <c r="N165" s="16"/>
    </row>
    <row r="166" customFormat="false" ht="15" hidden="false" customHeight="false" outlineLevel="0" collapsed="false">
      <c r="A166" s="4" t="s">
        <v>521</v>
      </c>
      <c r="B166" s="4" t="s">
        <v>522</v>
      </c>
      <c r="C166" s="4" t="n">
        <v>3</v>
      </c>
      <c r="D166" s="17" t="n">
        <v>4</v>
      </c>
      <c r="E166" s="16" t="s">
        <v>178</v>
      </c>
      <c r="F166" s="5" t="n">
        <v>46517</v>
      </c>
      <c r="G166" s="5" t="n">
        <v>46520</v>
      </c>
      <c r="H166" s="6" t="n">
        <f aca="false">NETWORKDAYS(F166,G166,Tong_quan!$F$4:$F$40)</f>
        <v>4</v>
      </c>
      <c r="I166" s="16" t="s">
        <v>75</v>
      </c>
      <c r="J166" s="16" t="s">
        <v>120</v>
      </c>
      <c r="K166" s="16" t="s">
        <v>488</v>
      </c>
      <c r="L166" s="16" t="s">
        <v>189</v>
      </c>
      <c r="M166" s="4" t="s">
        <v>519</v>
      </c>
      <c r="N166" s="16"/>
    </row>
    <row r="167" customFormat="false" ht="15" hidden="false" customHeight="false" outlineLevel="0" collapsed="false">
      <c r="A167" s="4" t="s">
        <v>523</v>
      </c>
      <c r="B167" s="4" t="s">
        <v>524</v>
      </c>
      <c r="C167" s="4" t="n">
        <v>3</v>
      </c>
      <c r="D167" s="17" t="n">
        <v>3</v>
      </c>
      <c r="E167" s="16" t="s">
        <v>187</v>
      </c>
      <c r="F167" s="5" t="n">
        <v>46511</v>
      </c>
      <c r="G167" s="5" t="n">
        <v>46526</v>
      </c>
      <c r="H167" s="6" t="n">
        <f aca="false">NETWORKDAYS(F167,G167,Tong_quan!$F$4:$F$40)</f>
        <v>12</v>
      </c>
      <c r="I167" s="16" t="s">
        <v>75</v>
      </c>
      <c r="J167" s="16" t="s">
        <v>108</v>
      </c>
      <c r="K167" s="16" t="s">
        <v>483</v>
      </c>
      <c r="L167" s="16"/>
      <c r="M167" s="4" t="s">
        <v>519</v>
      </c>
      <c r="N167" s="16"/>
    </row>
    <row r="168" customFormat="false" ht="15" hidden="false" customHeight="false" outlineLevel="0" collapsed="false">
      <c r="A168" s="4" t="s">
        <v>525</v>
      </c>
      <c r="B168" s="4" t="s">
        <v>526</v>
      </c>
      <c r="C168" s="4" t="n">
        <v>3</v>
      </c>
      <c r="D168" s="17" t="n">
        <v>7</v>
      </c>
      <c r="E168" s="16" t="s">
        <v>178</v>
      </c>
      <c r="F168" s="5" t="n">
        <v>46533</v>
      </c>
      <c r="G168" s="5" t="n">
        <v>46541</v>
      </c>
      <c r="H168" s="6" t="n">
        <f aca="false">NETWORKDAYS(F168,G168,Tong_quan!$F$4:$F$40)</f>
        <v>7</v>
      </c>
      <c r="I168" s="16" t="s">
        <v>75</v>
      </c>
      <c r="J168" s="16" t="s">
        <v>141</v>
      </c>
      <c r="K168" s="16" t="s">
        <v>527</v>
      </c>
      <c r="L168" s="16" t="s">
        <v>189</v>
      </c>
      <c r="M168" s="4" t="s">
        <v>519</v>
      </c>
      <c r="N168" s="16" t="s">
        <v>528</v>
      </c>
    </row>
    <row r="169" customFormat="false" ht="15" hidden="false" customHeight="false" outlineLevel="0" collapsed="false">
      <c r="A169" s="4" t="s">
        <v>529</v>
      </c>
      <c r="B169" s="4" t="s">
        <v>530</v>
      </c>
      <c r="C169" s="4" t="n">
        <v>3</v>
      </c>
      <c r="D169" s="17" t="n">
        <v>5</v>
      </c>
      <c r="E169" s="16" t="s">
        <v>119</v>
      </c>
      <c r="F169" s="5" t="n">
        <v>46542</v>
      </c>
      <c r="G169" s="5" t="n">
        <v>46548</v>
      </c>
      <c r="H169" s="6" t="n">
        <f aca="false">NETWORKDAYS(F169,G169,Tong_quan!$F$4:$F$40)</f>
        <v>5</v>
      </c>
      <c r="I169" s="16" t="s">
        <v>75</v>
      </c>
      <c r="J169" s="16" t="s">
        <v>155</v>
      </c>
      <c r="K169" s="16" t="s">
        <v>525</v>
      </c>
      <c r="L169" s="16" t="s">
        <v>189</v>
      </c>
      <c r="M169" s="4" t="s">
        <v>519</v>
      </c>
      <c r="N169" s="16"/>
    </row>
    <row r="170" customFormat="false" ht="15" hidden="false" customHeight="false" outlineLevel="0" collapsed="false">
      <c r="A170" s="4" t="s">
        <v>72</v>
      </c>
      <c r="B170" s="4" t="s">
        <v>531</v>
      </c>
      <c r="C170" s="4" t="n">
        <v>3</v>
      </c>
      <c r="D170" s="17" t="n">
        <v>6</v>
      </c>
      <c r="E170" s="16" t="s">
        <v>532</v>
      </c>
      <c r="F170" s="5" t="n">
        <v>46570</v>
      </c>
      <c r="G170" s="5" t="n">
        <v>46573</v>
      </c>
      <c r="H170" s="6" t="n">
        <f aca="false">NETWORKDAYS(F170,G170,Tong_quan!$F$4:$F$40)</f>
        <v>2</v>
      </c>
      <c r="I170" s="16" t="s">
        <v>75</v>
      </c>
      <c r="J170" s="16" t="s">
        <v>170</v>
      </c>
      <c r="K170" s="16" t="s">
        <v>533</v>
      </c>
      <c r="L170" s="16" t="s">
        <v>189</v>
      </c>
      <c r="M170" s="4" t="s">
        <v>519</v>
      </c>
      <c r="N170" s="16"/>
    </row>
    <row r="171" customFormat="false" ht="15" hidden="false" customHeight="false" outlineLevel="0" collapsed="false">
      <c r="A171" s="4" t="s">
        <v>534</v>
      </c>
      <c r="B171" s="4" t="s">
        <v>535</v>
      </c>
      <c r="C171" s="4" t="n">
        <v>3</v>
      </c>
      <c r="D171" s="17" t="n">
        <v>3</v>
      </c>
      <c r="E171" s="16" t="s">
        <v>536</v>
      </c>
      <c r="F171" s="5" t="n">
        <v>46570</v>
      </c>
      <c r="G171" s="5" t="n">
        <v>46576</v>
      </c>
      <c r="H171" s="6" t="n">
        <f aca="false">NETWORKDAYS(F171,G171,Tong_quan!$F$4:$F$40)</f>
        <v>5</v>
      </c>
      <c r="I171" s="16" t="s">
        <v>75</v>
      </c>
      <c r="J171" s="16" t="s">
        <v>170</v>
      </c>
      <c r="K171" s="16" t="s">
        <v>537</v>
      </c>
      <c r="L171" s="16"/>
      <c r="M171" s="4" t="s">
        <v>519</v>
      </c>
      <c r="N171" s="16" t="s">
        <v>327</v>
      </c>
    </row>
    <row r="172" customFormat="false" ht="15" hidden="false" customHeight="false" outlineLevel="0" collapsed="false">
      <c r="A172" s="4" t="s">
        <v>184</v>
      </c>
      <c r="B172" s="4" t="s">
        <v>538</v>
      </c>
      <c r="C172" s="4" t="n">
        <v>3</v>
      </c>
      <c r="D172" s="17" t="n">
        <v>4</v>
      </c>
      <c r="E172" s="16" t="s">
        <v>98</v>
      </c>
      <c r="F172" s="5" t="n">
        <v>46584</v>
      </c>
      <c r="G172" s="5" t="n">
        <v>46589</v>
      </c>
      <c r="H172" s="6" t="n">
        <f aca="false">NETWORKDAYS(F172,G172,Tong_quan!$F$4:$F$40)</f>
        <v>4</v>
      </c>
      <c r="I172" s="16" t="s">
        <v>75</v>
      </c>
      <c r="J172" s="16" t="s">
        <v>183</v>
      </c>
      <c r="K172" s="16" t="s">
        <v>539</v>
      </c>
      <c r="L172" s="16"/>
      <c r="M172" s="4" t="s">
        <v>519</v>
      </c>
      <c r="N172" s="16" t="s">
        <v>193</v>
      </c>
    </row>
    <row r="173" customFormat="false" ht="15" hidden="false" customHeight="false" outlineLevel="0" collapsed="false">
      <c r="A173" s="4" t="s">
        <v>540</v>
      </c>
      <c r="B173" s="4" t="s">
        <v>541</v>
      </c>
      <c r="C173" s="4" t="n">
        <v>3</v>
      </c>
      <c r="D173" s="17" t="n">
        <v>3</v>
      </c>
      <c r="E173" s="16" t="s">
        <v>115</v>
      </c>
      <c r="F173" s="5" t="n">
        <v>46556</v>
      </c>
      <c r="G173" s="5" t="n">
        <v>46560</v>
      </c>
      <c r="H173" s="6" t="n">
        <f aca="false">NETWORKDAYS(F173,G173,Tong_quan!$F$4:$F$40)</f>
        <v>3</v>
      </c>
      <c r="I173" s="16" t="s">
        <v>75</v>
      </c>
      <c r="J173" s="16" t="s">
        <v>166</v>
      </c>
      <c r="K173" s="16" t="s">
        <v>314</v>
      </c>
      <c r="L173" s="16"/>
      <c r="M173" s="4" t="s">
        <v>519</v>
      </c>
      <c r="N173" s="16"/>
    </row>
    <row r="174" customFormat="false" ht="15" hidden="false" customHeight="false" outlineLevel="0" collapsed="false">
      <c r="A174" s="4" t="s">
        <v>542</v>
      </c>
      <c r="B174" s="4" t="s">
        <v>543</v>
      </c>
      <c r="C174" s="4" t="n">
        <v>3</v>
      </c>
      <c r="D174" s="17" t="n">
        <v>5</v>
      </c>
      <c r="E174" s="16" t="s">
        <v>84</v>
      </c>
      <c r="F174" s="5" t="n">
        <v>46584</v>
      </c>
      <c r="G174" s="5" t="n">
        <v>46590</v>
      </c>
      <c r="H174" s="6" t="n">
        <f aca="false">NETWORKDAYS(F174,G174,Tong_quan!$F$4:$F$40)</f>
        <v>5</v>
      </c>
      <c r="I174" s="16" t="s">
        <v>75</v>
      </c>
      <c r="J174" s="16" t="s">
        <v>183</v>
      </c>
      <c r="K174" s="16" t="s">
        <v>72</v>
      </c>
      <c r="L174" s="16"/>
      <c r="M174" s="4" t="s">
        <v>519</v>
      </c>
      <c r="N174" s="16" t="s">
        <v>193</v>
      </c>
    </row>
    <row r="175" customFormat="false" ht="15" hidden="false" customHeight="false" outlineLevel="0" collapsed="false">
      <c r="A175" s="3" t="s">
        <v>544</v>
      </c>
      <c r="B175" s="3" t="s">
        <v>545</v>
      </c>
      <c r="C175" s="4" t="n">
        <v>2</v>
      </c>
      <c r="D175" s="14" t="n">
        <f aca="false">SUMIFS(D:D,M:M,A175)</f>
        <v>25</v>
      </c>
      <c r="E175" s="4"/>
      <c r="F175" s="15" t="n">
        <f aca="false">_xlfn.MINIFS(F:F,M:M,A175)</f>
        <v>46527</v>
      </c>
      <c r="G175" s="15" t="n">
        <f aca="false">_xlfn.MAXIFS(G:G,M:M,A175)</f>
        <v>46580</v>
      </c>
      <c r="H175" s="6" t="n">
        <f aca="false">NETWORKDAYS(F175,G175,Tong_quan!$F$4:$F$40)</f>
        <v>38</v>
      </c>
      <c r="I175" s="16" t="s">
        <v>75</v>
      </c>
      <c r="J175" s="16" t="s">
        <v>546</v>
      </c>
      <c r="K175" s="4"/>
      <c r="L175" s="4"/>
      <c r="M175" s="4" t="s">
        <v>462</v>
      </c>
      <c r="N175" s="16"/>
    </row>
    <row r="176" customFormat="false" ht="15" hidden="false" customHeight="false" outlineLevel="0" collapsed="false">
      <c r="A176" s="4" t="s">
        <v>454</v>
      </c>
      <c r="B176" s="4" t="s">
        <v>547</v>
      </c>
      <c r="C176" s="4" t="n">
        <v>3</v>
      </c>
      <c r="D176" s="17" t="n">
        <v>7</v>
      </c>
      <c r="E176" s="16" t="s">
        <v>249</v>
      </c>
      <c r="F176" s="5" t="n">
        <v>46527</v>
      </c>
      <c r="G176" s="5" t="n">
        <v>46538</v>
      </c>
      <c r="H176" s="6" t="n">
        <f aca="false">NETWORKDAYS(F176,G176,Tong_quan!$F$4:$F$40)</f>
        <v>8</v>
      </c>
      <c r="I176" s="16" t="s">
        <v>75</v>
      </c>
      <c r="J176" s="16" t="s">
        <v>126</v>
      </c>
      <c r="K176" s="16" t="s">
        <v>548</v>
      </c>
      <c r="L176" s="16"/>
      <c r="M176" s="4" t="s">
        <v>544</v>
      </c>
      <c r="N176" s="16" t="s">
        <v>549</v>
      </c>
    </row>
    <row r="177" customFormat="false" ht="15" hidden="false" customHeight="false" outlineLevel="0" collapsed="false">
      <c r="A177" s="4" t="s">
        <v>314</v>
      </c>
      <c r="B177" s="4" t="s">
        <v>550</v>
      </c>
      <c r="C177" s="4" t="n">
        <v>3</v>
      </c>
      <c r="D177" s="17" t="n">
        <v>4</v>
      </c>
      <c r="E177" s="16" t="s">
        <v>115</v>
      </c>
      <c r="F177" s="5" t="n">
        <v>46546</v>
      </c>
      <c r="G177" s="5" t="n">
        <v>46549</v>
      </c>
      <c r="H177" s="6" t="n">
        <f aca="false">NETWORKDAYS(F177,G177,Tong_quan!$F$4:$F$40)</f>
        <v>4</v>
      </c>
      <c r="I177" s="16" t="s">
        <v>75</v>
      </c>
      <c r="J177" s="16" t="s">
        <v>155</v>
      </c>
      <c r="K177" s="16" t="s">
        <v>454</v>
      </c>
      <c r="L177" s="16"/>
      <c r="M177" s="4" t="s">
        <v>544</v>
      </c>
      <c r="N177" s="16"/>
    </row>
    <row r="178" customFormat="false" ht="15" hidden="false" customHeight="false" outlineLevel="0" collapsed="false">
      <c r="A178" s="4" t="s">
        <v>551</v>
      </c>
      <c r="B178" s="4" t="s">
        <v>552</v>
      </c>
      <c r="C178" s="4" t="n">
        <v>3</v>
      </c>
      <c r="D178" s="17" t="n">
        <v>4</v>
      </c>
      <c r="E178" s="16" t="s">
        <v>119</v>
      </c>
      <c r="F178" s="5" t="n">
        <v>46549</v>
      </c>
      <c r="G178" s="5" t="n">
        <v>46554</v>
      </c>
      <c r="H178" s="6" t="n">
        <f aca="false">NETWORKDAYS(F178,G178,Tong_quan!$F$4:$F$40)</f>
        <v>4</v>
      </c>
      <c r="I178" s="16" t="s">
        <v>75</v>
      </c>
      <c r="J178" s="16" t="s">
        <v>155</v>
      </c>
      <c r="K178" s="16" t="s">
        <v>517</v>
      </c>
      <c r="L178" s="16"/>
      <c r="M178" s="4" t="s">
        <v>544</v>
      </c>
      <c r="N178" s="16" t="s">
        <v>553</v>
      </c>
    </row>
    <row r="179" customFormat="false" ht="15" hidden="false" customHeight="false" outlineLevel="0" collapsed="false">
      <c r="A179" s="4" t="s">
        <v>554</v>
      </c>
      <c r="B179" s="4" t="s">
        <v>555</v>
      </c>
      <c r="C179" s="4" t="n">
        <v>3</v>
      </c>
      <c r="D179" s="17" t="n">
        <v>4</v>
      </c>
      <c r="E179" s="16" t="s">
        <v>103</v>
      </c>
      <c r="F179" s="5" t="n">
        <v>46554</v>
      </c>
      <c r="G179" s="5" t="n">
        <v>46559</v>
      </c>
      <c r="H179" s="6" t="n">
        <f aca="false">NETWORKDAYS(F179,G179,Tong_quan!$F$4:$F$40)</f>
        <v>4</v>
      </c>
      <c r="I179" s="16" t="s">
        <v>75</v>
      </c>
      <c r="J179" s="16" t="s">
        <v>179</v>
      </c>
      <c r="K179" s="16" t="s">
        <v>556</v>
      </c>
      <c r="L179" s="16"/>
      <c r="M179" s="4" t="s">
        <v>544</v>
      </c>
      <c r="N179" s="16" t="s">
        <v>557</v>
      </c>
    </row>
    <row r="180" customFormat="false" ht="15" hidden="false" customHeight="false" outlineLevel="0" collapsed="false">
      <c r="A180" s="4" t="s">
        <v>558</v>
      </c>
      <c r="B180" s="4" t="s">
        <v>559</v>
      </c>
      <c r="C180" s="4" t="n">
        <v>3</v>
      </c>
      <c r="D180" s="17" t="n">
        <v>2</v>
      </c>
      <c r="E180" s="16" t="s">
        <v>115</v>
      </c>
      <c r="F180" s="5" t="n">
        <v>46538</v>
      </c>
      <c r="G180" s="5" t="n">
        <v>46539</v>
      </c>
      <c r="H180" s="6" t="n">
        <f aca="false">NETWORKDAYS(F180,G180,Tong_quan!$F$4:$F$40)</f>
        <v>2</v>
      </c>
      <c r="I180" s="16" t="s">
        <v>75</v>
      </c>
      <c r="J180" s="16" t="s">
        <v>141</v>
      </c>
      <c r="K180" s="16" t="s">
        <v>494</v>
      </c>
      <c r="L180" s="16"/>
      <c r="M180" s="4" t="s">
        <v>544</v>
      </c>
      <c r="N180" s="16"/>
    </row>
    <row r="181" customFormat="false" ht="15" hidden="false" customHeight="false" outlineLevel="0" collapsed="false">
      <c r="A181" s="4" t="s">
        <v>560</v>
      </c>
      <c r="B181" s="4" t="s">
        <v>561</v>
      </c>
      <c r="C181" s="4" t="n">
        <v>3</v>
      </c>
      <c r="D181" s="17" t="n">
        <v>4</v>
      </c>
      <c r="E181" s="16" t="s">
        <v>115</v>
      </c>
      <c r="F181" s="5" t="n">
        <v>46575</v>
      </c>
      <c r="G181" s="5" t="n">
        <v>46580</v>
      </c>
      <c r="H181" s="6" t="n">
        <f aca="false">NETWORKDAYS(F181,G181,Tong_quan!$F$4:$F$40)</f>
        <v>4</v>
      </c>
      <c r="I181" s="16" t="s">
        <v>75</v>
      </c>
      <c r="J181" s="16" t="s">
        <v>170</v>
      </c>
      <c r="K181" s="16" t="s">
        <v>562</v>
      </c>
      <c r="L181" s="16"/>
      <c r="M181" s="4" t="s">
        <v>544</v>
      </c>
      <c r="N181" s="16"/>
    </row>
    <row r="182" customFormat="false" ht="15" hidden="false" customHeight="false" outlineLevel="0" collapsed="false">
      <c r="A182" s="3" t="s">
        <v>563</v>
      </c>
      <c r="B182" s="3" t="s">
        <v>564</v>
      </c>
      <c r="C182" s="4" t="n">
        <v>1</v>
      </c>
      <c r="D182" s="14" t="n">
        <f aca="false">SUMIFS(D:D,M:M,A182)</f>
        <v>75</v>
      </c>
      <c r="E182" s="4"/>
      <c r="F182" s="15" t="n">
        <f aca="false">_xlfn.MINIFS(F:F,M:M,A182)</f>
        <v>46528</v>
      </c>
      <c r="G182" s="15" t="n">
        <f aca="false">_xlfn.MAXIFS(G:G,M:M,A182)</f>
        <v>46597</v>
      </c>
      <c r="H182" s="6" t="n">
        <f aca="false">NETWORKDAYS(F182,G182,Tong_quan!$F$4:$F$40)</f>
        <v>50</v>
      </c>
      <c r="I182" s="16" t="s">
        <v>565</v>
      </c>
      <c r="J182" s="16"/>
      <c r="K182" s="4"/>
      <c r="L182" s="4"/>
      <c r="M182" s="4"/>
      <c r="N182" s="16"/>
    </row>
    <row r="183" customFormat="false" ht="15" hidden="false" customHeight="false" outlineLevel="0" collapsed="false">
      <c r="A183" s="3" t="s">
        <v>566</v>
      </c>
      <c r="B183" s="3" t="s">
        <v>567</v>
      </c>
      <c r="C183" s="4" t="n">
        <v>2</v>
      </c>
      <c r="D183" s="14" t="n">
        <f aca="false">SUMIFS(D:D,M:M,A183)</f>
        <v>3</v>
      </c>
      <c r="E183" s="4"/>
      <c r="F183" s="15" t="n">
        <f aca="false">_xlfn.MINIFS(F:F,M:M,A183)</f>
        <v>46528</v>
      </c>
      <c r="G183" s="15" t="n">
        <f aca="false">_xlfn.MAXIFS(G:G,M:M,A183)</f>
        <v>46597</v>
      </c>
      <c r="H183" s="6" t="n">
        <f aca="false">NETWORKDAYS(F183,G183,Tong_quan!$F$4:$F$40)</f>
        <v>50</v>
      </c>
      <c r="I183" s="16" t="s">
        <v>65</v>
      </c>
      <c r="J183" s="16"/>
      <c r="K183" s="4"/>
      <c r="L183" s="4"/>
      <c r="M183" s="4" t="s">
        <v>563</v>
      </c>
      <c r="N183" s="16"/>
    </row>
    <row r="184" customFormat="false" ht="15" hidden="false" customHeight="false" outlineLevel="0" collapsed="false">
      <c r="A184" s="4" t="s">
        <v>568</v>
      </c>
      <c r="B184" s="4" t="s">
        <v>569</v>
      </c>
      <c r="C184" s="4" t="n">
        <v>3</v>
      </c>
      <c r="D184" s="17" t="n">
        <v>3</v>
      </c>
      <c r="E184" s="16" t="s">
        <v>64</v>
      </c>
      <c r="F184" s="5" t="n">
        <v>46528</v>
      </c>
      <c r="G184" s="5" t="n">
        <v>46597</v>
      </c>
      <c r="H184" s="6" t="n">
        <f aca="false">NETWORKDAYS(F184,G184,Tong_quan!$F$4:$F$40)</f>
        <v>50</v>
      </c>
      <c r="I184" s="16" t="s">
        <v>65</v>
      </c>
      <c r="J184" s="16"/>
      <c r="K184" s="16"/>
      <c r="L184" s="16"/>
      <c r="M184" s="4" t="s">
        <v>566</v>
      </c>
      <c r="N184" s="16"/>
    </row>
    <row r="185" customFormat="false" ht="15" hidden="false" customHeight="false" outlineLevel="0" collapsed="false">
      <c r="A185" s="3" t="s">
        <v>570</v>
      </c>
      <c r="B185" s="3" t="s">
        <v>571</v>
      </c>
      <c r="C185" s="4" t="n">
        <v>2</v>
      </c>
      <c r="D185" s="14" t="n">
        <f aca="false">SUMIFS(D:D,M:M,A185)</f>
        <v>14</v>
      </c>
      <c r="E185" s="4"/>
      <c r="F185" s="15" t="n">
        <f aca="false">_xlfn.MINIFS(F:F,M:M,A185)</f>
        <v>46539</v>
      </c>
      <c r="G185" s="15" t="n">
        <f aca="false">_xlfn.MAXIFS(G:G,M:M,A185)</f>
        <v>46555</v>
      </c>
      <c r="H185" s="6" t="n">
        <f aca="false">NETWORKDAYS(F185,G185,Tong_quan!$F$4:$F$40)</f>
        <v>13</v>
      </c>
      <c r="I185" s="16" t="s">
        <v>75</v>
      </c>
      <c r="J185" s="16" t="s">
        <v>161</v>
      </c>
      <c r="K185" s="4"/>
      <c r="L185" s="4"/>
      <c r="M185" s="4" t="s">
        <v>563</v>
      </c>
      <c r="N185" s="16"/>
    </row>
    <row r="186" customFormat="false" ht="15" hidden="false" customHeight="false" outlineLevel="0" collapsed="false">
      <c r="A186" s="4" t="s">
        <v>572</v>
      </c>
      <c r="B186" s="4" t="s">
        <v>573</v>
      </c>
      <c r="C186" s="4" t="n">
        <v>3</v>
      </c>
      <c r="D186" s="17" t="n">
        <v>3</v>
      </c>
      <c r="E186" s="16" t="s">
        <v>84</v>
      </c>
      <c r="F186" s="5" t="n">
        <v>46539</v>
      </c>
      <c r="G186" s="5" t="n">
        <v>46541</v>
      </c>
      <c r="H186" s="6" t="n">
        <f aca="false">NETWORKDAYS(F186,G186,Tong_quan!$F$4:$F$40)</f>
        <v>3</v>
      </c>
      <c r="I186" s="16" t="s">
        <v>75</v>
      </c>
      <c r="J186" s="16" t="s">
        <v>141</v>
      </c>
      <c r="K186" s="16"/>
      <c r="L186" s="16"/>
      <c r="M186" s="4" t="s">
        <v>570</v>
      </c>
      <c r="N186" s="16" t="s">
        <v>574</v>
      </c>
    </row>
    <row r="187" customFormat="false" ht="15" hidden="false" customHeight="false" outlineLevel="0" collapsed="false">
      <c r="A187" s="4" t="s">
        <v>575</v>
      </c>
      <c r="B187" s="4" t="s">
        <v>576</v>
      </c>
      <c r="C187" s="4" t="n">
        <v>3</v>
      </c>
      <c r="D187" s="17" t="n">
        <v>5</v>
      </c>
      <c r="E187" s="16" t="s">
        <v>317</v>
      </c>
      <c r="F187" s="5" t="n">
        <v>46542</v>
      </c>
      <c r="G187" s="5" t="n">
        <v>46546</v>
      </c>
      <c r="H187" s="6" t="n">
        <f aca="false">NETWORKDAYS(F187,G187,Tong_quan!$F$4:$F$40)</f>
        <v>3</v>
      </c>
      <c r="I187" s="16" t="s">
        <v>75</v>
      </c>
      <c r="J187" s="16" t="s">
        <v>155</v>
      </c>
      <c r="K187" s="16" t="s">
        <v>572</v>
      </c>
      <c r="L187" s="16"/>
      <c r="M187" s="4" t="s">
        <v>570</v>
      </c>
      <c r="N187" s="16" t="s">
        <v>574</v>
      </c>
    </row>
    <row r="188" customFormat="false" ht="15" hidden="false" customHeight="false" outlineLevel="0" collapsed="false">
      <c r="A188" s="4" t="s">
        <v>577</v>
      </c>
      <c r="B188" s="4" t="s">
        <v>578</v>
      </c>
      <c r="C188" s="4" t="n">
        <v>3</v>
      </c>
      <c r="D188" s="17" t="n">
        <v>4</v>
      </c>
      <c r="E188" s="16" t="s">
        <v>137</v>
      </c>
      <c r="F188" s="5" t="n">
        <v>46542</v>
      </c>
      <c r="G188" s="5" t="n">
        <v>46547</v>
      </c>
      <c r="H188" s="6" t="n">
        <f aca="false">NETWORKDAYS(F188,G188,Tong_quan!$F$4:$F$40)</f>
        <v>4</v>
      </c>
      <c r="I188" s="16" t="s">
        <v>75</v>
      </c>
      <c r="J188" s="16" t="s">
        <v>155</v>
      </c>
      <c r="K188" s="16" t="s">
        <v>579</v>
      </c>
      <c r="L188" s="16"/>
      <c r="M188" s="4" t="s">
        <v>570</v>
      </c>
      <c r="N188" s="16" t="s">
        <v>574</v>
      </c>
    </row>
    <row r="189" customFormat="false" ht="15" hidden="false" customHeight="false" outlineLevel="0" collapsed="false">
      <c r="A189" s="4" t="s">
        <v>580</v>
      </c>
      <c r="B189" s="4" t="s">
        <v>581</v>
      </c>
      <c r="C189" s="4" t="n">
        <v>3</v>
      </c>
      <c r="D189" s="17" t="n">
        <v>2</v>
      </c>
      <c r="E189" s="16" t="s">
        <v>98</v>
      </c>
      <c r="F189" s="5" t="n">
        <v>46549</v>
      </c>
      <c r="G189" s="5" t="n">
        <v>46555</v>
      </c>
      <c r="H189" s="6" t="n">
        <f aca="false">NETWORKDAYS(F189,G189,Tong_quan!$F$4:$F$40)</f>
        <v>5</v>
      </c>
      <c r="I189" s="16" t="s">
        <v>75</v>
      </c>
      <c r="J189" s="16" t="s">
        <v>155</v>
      </c>
      <c r="K189" s="16" t="s">
        <v>582</v>
      </c>
      <c r="L189" s="16"/>
      <c r="M189" s="4" t="s">
        <v>570</v>
      </c>
      <c r="N189" s="16" t="s">
        <v>583</v>
      </c>
    </row>
    <row r="190" customFormat="false" ht="15" hidden="false" customHeight="false" outlineLevel="0" collapsed="false">
      <c r="A190" s="3" t="s">
        <v>584</v>
      </c>
      <c r="B190" s="3" t="s">
        <v>585</v>
      </c>
      <c r="C190" s="4" t="n">
        <v>2</v>
      </c>
      <c r="D190" s="14" t="n">
        <f aca="false">SUMIFS(D:D,M:M,A190)</f>
        <v>33</v>
      </c>
      <c r="E190" s="4"/>
      <c r="F190" s="15" t="n">
        <f aca="false">_xlfn.MINIFS(F:F,M:M,A190)</f>
        <v>46548</v>
      </c>
      <c r="G190" s="15" t="n">
        <f aca="false">_xlfn.MAXIFS(G:G,M:M,A190)</f>
        <v>46563</v>
      </c>
      <c r="H190" s="6" t="n">
        <f aca="false">NETWORKDAYS(F190,G190,Tong_quan!$F$4:$F$40)</f>
        <v>12</v>
      </c>
      <c r="I190" s="16" t="s">
        <v>75</v>
      </c>
      <c r="J190" s="16" t="s">
        <v>179</v>
      </c>
      <c r="K190" s="4"/>
      <c r="L190" s="4"/>
      <c r="M190" s="4" t="s">
        <v>563</v>
      </c>
      <c r="N190" s="16"/>
    </row>
    <row r="191" customFormat="false" ht="15" hidden="false" customHeight="false" outlineLevel="0" collapsed="false">
      <c r="A191" s="4" t="s">
        <v>586</v>
      </c>
      <c r="B191" s="4" t="s">
        <v>587</v>
      </c>
      <c r="C191" s="4" t="n">
        <v>3</v>
      </c>
      <c r="D191" s="17" t="n">
        <v>4</v>
      </c>
      <c r="E191" s="16" t="s">
        <v>588</v>
      </c>
      <c r="F191" s="5" t="n">
        <v>46548</v>
      </c>
      <c r="G191" s="5" t="n">
        <v>46549</v>
      </c>
      <c r="H191" s="6" t="n">
        <f aca="false">NETWORKDAYS(F191,G191,Tong_quan!$F$4:$F$40)</f>
        <v>2</v>
      </c>
      <c r="I191" s="16" t="s">
        <v>75</v>
      </c>
      <c r="J191" s="16" t="s">
        <v>155</v>
      </c>
      <c r="K191" s="16" t="s">
        <v>577</v>
      </c>
      <c r="L191" s="16"/>
      <c r="M191" s="4" t="s">
        <v>584</v>
      </c>
      <c r="N191" s="16" t="s">
        <v>589</v>
      </c>
    </row>
    <row r="192" customFormat="false" ht="15" hidden="false" customHeight="false" outlineLevel="0" collapsed="false">
      <c r="A192" s="4" t="s">
        <v>590</v>
      </c>
      <c r="B192" s="4" t="s">
        <v>591</v>
      </c>
      <c r="C192" s="4" t="n">
        <v>3</v>
      </c>
      <c r="D192" s="17" t="n">
        <v>5</v>
      </c>
      <c r="E192" s="16" t="s">
        <v>165</v>
      </c>
      <c r="F192" s="5" t="n">
        <v>46552</v>
      </c>
      <c r="G192" s="5" t="n">
        <v>46556</v>
      </c>
      <c r="H192" s="6" t="n">
        <f aca="false">NETWORKDAYS(F192,G192,Tong_quan!$F$4:$F$40)</f>
        <v>5</v>
      </c>
      <c r="I192" s="16" t="s">
        <v>75</v>
      </c>
      <c r="J192" s="16" t="s">
        <v>179</v>
      </c>
      <c r="K192" s="16" t="s">
        <v>592</v>
      </c>
      <c r="L192" s="16"/>
      <c r="M192" s="4" t="s">
        <v>584</v>
      </c>
      <c r="N192" s="16" t="s">
        <v>574</v>
      </c>
    </row>
    <row r="193" customFormat="false" ht="15" hidden="false" customHeight="false" outlineLevel="0" collapsed="false">
      <c r="A193" s="4" t="s">
        <v>593</v>
      </c>
      <c r="B193" s="4" t="s">
        <v>594</v>
      </c>
      <c r="C193" s="4" t="n">
        <v>3</v>
      </c>
      <c r="D193" s="17" t="n">
        <v>4</v>
      </c>
      <c r="E193" s="16" t="s">
        <v>115</v>
      </c>
      <c r="F193" s="5" t="n">
        <v>46552</v>
      </c>
      <c r="G193" s="5" t="n">
        <v>46555</v>
      </c>
      <c r="H193" s="6" t="n">
        <f aca="false">NETWORKDAYS(F193,G193,Tong_quan!$F$4:$F$40)</f>
        <v>4</v>
      </c>
      <c r="I193" s="16" t="s">
        <v>75</v>
      </c>
      <c r="J193" s="16" t="s">
        <v>155</v>
      </c>
      <c r="K193" s="16" t="s">
        <v>595</v>
      </c>
      <c r="L193" s="16"/>
      <c r="M193" s="4" t="s">
        <v>584</v>
      </c>
      <c r="N193" s="16" t="s">
        <v>574</v>
      </c>
    </row>
    <row r="194" customFormat="false" ht="15" hidden="false" customHeight="false" outlineLevel="0" collapsed="false">
      <c r="A194" s="4" t="s">
        <v>596</v>
      </c>
      <c r="B194" s="4" t="s">
        <v>597</v>
      </c>
      <c r="C194" s="4" t="n">
        <v>3</v>
      </c>
      <c r="D194" s="17" t="n">
        <v>6</v>
      </c>
      <c r="E194" s="16" t="s">
        <v>598</v>
      </c>
      <c r="F194" s="5" t="n">
        <v>46552</v>
      </c>
      <c r="G194" s="5" t="n">
        <v>46554</v>
      </c>
      <c r="H194" s="6" t="n">
        <f aca="false">NETWORKDAYS(F194,G194,Tong_quan!$F$4:$F$40)</f>
        <v>3</v>
      </c>
      <c r="I194" s="16" t="s">
        <v>75</v>
      </c>
      <c r="J194" s="16" t="s">
        <v>155</v>
      </c>
      <c r="K194" s="16" t="s">
        <v>599</v>
      </c>
      <c r="L194" s="16"/>
      <c r="M194" s="4" t="s">
        <v>584</v>
      </c>
      <c r="N194" s="16" t="s">
        <v>574</v>
      </c>
    </row>
    <row r="195" customFormat="false" ht="15" hidden="false" customHeight="false" outlineLevel="0" collapsed="false">
      <c r="A195" s="4" t="s">
        <v>600</v>
      </c>
      <c r="B195" s="4" t="s">
        <v>601</v>
      </c>
      <c r="C195" s="4" t="n">
        <v>3</v>
      </c>
      <c r="D195" s="17" t="n">
        <v>4</v>
      </c>
      <c r="E195" s="16" t="s">
        <v>249</v>
      </c>
      <c r="F195" s="5" t="n">
        <v>46555</v>
      </c>
      <c r="G195" s="5" t="n">
        <v>46560</v>
      </c>
      <c r="H195" s="6" t="n">
        <f aca="false">NETWORKDAYS(F195,G195,Tong_quan!$F$4:$F$40)</f>
        <v>4</v>
      </c>
      <c r="I195" s="16" t="s">
        <v>75</v>
      </c>
      <c r="J195" s="16" t="s">
        <v>179</v>
      </c>
      <c r="K195" s="16" t="s">
        <v>602</v>
      </c>
      <c r="L195" s="16"/>
      <c r="M195" s="4" t="s">
        <v>584</v>
      </c>
      <c r="N195" s="16" t="s">
        <v>574</v>
      </c>
    </row>
    <row r="196" customFormat="false" ht="15" hidden="false" customHeight="false" outlineLevel="0" collapsed="false">
      <c r="A196" s="4" t="s">
        <v>603</v>
      </c>
      <c r="B196" s="4" t="s">
        <v>604</v>
      </c>
      <c r="C196" s="4" t="n">
        <v>3</v>
      </c>
      <c r="D196" s="17" t="n">
        <v>5</v>
      </c>
      <c r="E196" s="16" t="s">
        <v>165</v>
      </c>
      <c r="F196" s="5" t="n">
        <v>46559</v>
      </c>
      <c r="G196" s="5" t="n">
        <v>46563</v>
      </c>
      <c r="H196" s="6" t="n">
        <f aca="false">NETWORKDAYS(F196,G196,Tong_quan!$F$4:$F$40)</f>
        <v>5</v>
      </c>
      <c r="I196" s="16" t="s">
        <v>75</v>
      </c>
      <c r="J196" s="16" t="s">
        <v>166</v>
      </c>
      <c r="K196" s="16" t="s">
        <v>596</v>
      </c>
      <c r="L196" s="16"/>
      <c r="M196" s="4" t="s">
        <v>584</v>
      </c>
      <c r="N196" s="16" t="s">
        <v>574</v>
      </c>
    </row>
    <row r="197" customFormat="false" ht="15" hidden="false" customHeight="false" outlineLevel="0" collapsed="false">
      <c r="A197" s="4" t="s">
        <v>605</v>
      </c>
      <c r="B197" s="4" t="s">
        <v>606</v>
      </c>
      <c r="C197" s="4" t="n">
        <v>3</v>
      </c>
      <c r="D197" s="17" t="n">
        <v>5</v>
      </c>
      <c r="E197" s="16" t="s">
        <v>137</v>
      </c>
      <c r="F197" s="5" t="n">
        <v>46555</v>
      </c>
      <c r="G197" s="5" t="n">
        <v>46561</v>
      </c>
      <c r="H197" s="6" t="n">
        <f aca="false">NETWORKDAYS(F197,G197,Tong_quan!$F$4:$F$40)</f>
        <v>5</v>
      </c>
      <c r="I197" s="16" t="s">
        <v>75</v>
      </c>
      <c r="J197" s="16" t="s">
        <v>179</v>
      </c>
      <c r="K197" s="16" t="s">
        <v>607</v>
      </c>
      <c r="L197" s="16"/>
      <c r="M197" s="4" t="s">
        <v>584</v>
      </c>
      <c r="N197" s="16" t="s">
        <v>574</v>
      </c>
    </row>
    <row r="198" customFormat="false" ht="15" hidden="false" customHeight="false" outlineLevel="0" collapsed="false">
      <c r="A198" s="3" t="s">
        <v>608</v>
      </c>
      <c r="B198" s="3" t="s">
        <v>609</v>
      </c>
      <c r="C198" s="4" t="n">
        <v>2</v>
      </c>
      <c r="D198" s="14" t="n">
        <f aca="false">SUMIFS(D:D,M:M,A198)</f>
        <v>19</v>
      </c>
      <c r="E198" s="4"/>
      <c r="F198" s="15" t="n">
        <f aca="false">_xlfn.MINIFS(F:F,M:M,A198)</f>
        <v>46547</v>
      </c>
      <c r="G198" s="15" t="n">
        <f aca="false">_xlfn.MAXIFS(G:G,M:M,A198)</f>
        <v>46595</v>
      </c>
      <c r="H198" s="6" t="n">
        <f aca="false">NETWORKDAYS(F198,G198,Tong_quan!$F$4:$F$40)</f>
        <v>35</v>
      </c>
      <c r="I198" s="16" t="s">
        <v>75</v>
      </c>
      <c r="J198" s="16" t="s">
        <v>308</v>
      </c>
      <c r="K198" s="4"/>
      <c r="L198" s="4"/>
      <c r="M198" s="4" t="s">
        <v>563</v>
      </c>
      <c r="N198" s="16"/>
    </row>
    <row r="199" customFormat="false" ht="15" hidden="false" customHeight="false" outlineLevel="0" collapsed="false">
      <c r="A199" s="4" t="s">
        <v>610</v>
      </c>
      <c r="B199" s="4" t="s">
        <v>611</v>
      </c>
      <c r="C199" s="4" t="n">
        <v>3</v>
      </c>
      <c r="D199" s="17" t="n">
        <v>3</v>
      </c>
      <c r="E199" s="16" t="s">
        <v>178</v>
      </c>
      <c r="F199" s="5" t="n">
        <v>46547</v>
      </c>
      <c r="G199" s="5" t="n">
        <v>46549</v>
      </c>
      <c r="H199" s="6" t="n">
        <f aca="false">NETWORKDAYS(F199,G199,Tong_quan!$F$4:$F$40)</f>
        <v>3</v>
      </c>
      <c r="I199" s="16" t="s">
        <v>75</v>
      </c>
      <c r="J199" s="16" t="s">
        <v>155</v>
      </c>
      <c r="K199" s="16" t="s">
        <v>575</v>
      </c>
      <c r="L199" s="16"/>
      <c r="M199" s="4" t="s">
        <v>608</v>
      </c>
      <c r="N199" s="16" t="s">
        <v>574</v>
      </c>
    </row>
    <row r="200" customFormat="false" ht="15" hidden="false" customHeight="false" outlineLevel="0" collapsed="false">
      <c r="A200" s="4" t="s">
        <v>612</v>
      </c>
      <c r="B200" s="4" t="s">
        <v>613</v>
      </c>
      <c r="C200" s="4" t="n">
        <v>3</v>
      </c>
      <c r="D200" s="17" t="n">
        <v>6</v>
      </c>
      <c r="E200" s="16" t="s">
        <v>614</v>
      </c>
      <c r="F200" s="5" t="n">
        <v>46566</v>
      </c>
      <c r="G200" s="5" t="n">
        <v>46568</v>
      </c>
      <c r="H200" s="6" t="n">
        <f aca="false">NETWORKDAYS(F200,G200,Tong_quan!$F$4:$F$40)</f>
        <v>3</v>
      </c>
      <c r="I200" s="16" t="s">
        <v>75</v>
      </c>
      <c r="J200" s="16" t="s">
        <v>166</v>
      </c>
      <c r="K200" s="16" t="s">
        <v>615</v>
      </c>
      <c r="L200" s="16"/>
      <c r="M200" s="4" t="s">
        <v>608</v>
      </c>
      <c r="N200" s="16" t="s">
        <v>589</v>
      </c>
    </row>
    <row r="201" customFormat="false" ht="15" hidden="false" customHeight="false" outlineLevel="0" collapsed="false">
      <c r="A201" s="4" t="s">
        <v>616</v>
      </c>
      <c r="B201" s="4" t="s">
        <v>617</v>
      </c>
      <c r="C201" s="4" t="n">
        <v>3</v>
      </c>
      <c r="D201" s="17" t="n">
        <v>4</v>
      </c>
      <c r="E201" s="16" t="s">
        <v>618</v>
      </c>
      <c r="F201" s="5" t="n">
        <v>46569</v>
      </c>
      <c r="G201" s="5" t="n">
        <v>46570</v>
      </c>
      <c r="H201" s="6" t="n">
        <f aca="false">NETWORKDAYS(F201,G201,Tong_quan!$F$4:$F$40)</f>
        <v>2</v>
      </c>
      <c r="I201" s="16" t="s">
        <v>75</v>
      </c>
      <c r="J201" s="16" t="s">
        <v>290</v>
      </c>
      <c r="K201" s="16" t="s">
        <v>619</v>
      </c>
      <c r="L201" s="16"/>
      <c r="M201" s="4" t="s">
        <v>608</v>
      </c>
      <c r="N201" s="16" t="s">
        <v>574</v>
      </c>
    </row>
    <row r="202" customFormat="false" ht="15" hidden="false" customHeight="false" outlineLevel="0" collapsed="false">
      <c r="A202" s="4" t="s">
        <v>620</v>
      </c>
      <c r="B202" s="4" t="s">
        <v>621</v>
      </c>
      <c r="C202" s="4" t="n">
        <v>3</v>
      </c>
      <c r="D202" s="17" t="n">
        <v>3</v>
      </c>
      <c r="E202" s="16" t="s">
        <v>622</v>
      </c>
      <c r="F202" s="5" t="n">
        <v>46573</v>
      </c>
      <c r="G202" s="5" t="n">
        <v>46574</v>
      </c>
      <c r="H202" s="6" t="n">
        <f aca="false">NETWORKDAYS(F202,G202,Tong_quan!$F$4:$F$40)</f>
        <v>2</v>
      </c>
      <c r="I202" s="16" t="s">
        <v>75</v>
      </c>
      <c r="J202" s="16" t="s">
        <v>170</v>
      </c>
      <c r="K202" s="16" t="s">
        <v>616</v>
      </c>
      <c r="L202" s="16"/>
      <c r="M202" s="4" t="s">
        <v>608</v>
      </c>
      <c r="N202" s="16" t="s">
        <v>574</v>
      </c>
    </row>
    <row r="203" customFormat="false" ht="15" hidden="false" customHeight="false" outlineLevel="0" collapsed="false">
      <c r="A203" s="4" t="s">
        <v>623</v>
      </c>
      <c r="B203" s="4" t="s">
        <v>624</v>
      </c>
      <c r="C203" s="4" t="n">
        <v>3</v>
      </c>
      <c r="D203" s="17" t="n">
        <v>3</v>
      </c>
      <c r="E203" s="16" t="s">
        <v>625</v>
      </c>
      <c r="F203" s="5" t="n">
        <v>46584</v>
      </c>
      <c r="G203" s="5" t="n">
        <v>46595</v>
      </c>
      <c r="H203" s="6" t="n">
        <f aca="false">NETWORKDAYS(F203,G203,Tong_quan!$F$4:$F$40)</f>
        <v>8</v>
      </c>
      <c r="I203" s="16" t="s">
        <v>75</v>
      </c>
      <c r="J203" s="16" t="s">
        <v>183</v>
      </c>
      <c r="K203" s="16" t="s">
        <v>626</v>
      </c>
      <c r="L203" s="16"/>
      <c r="M203" s="4" t="s">
        <v>608</v>
      </c>
      <c r="N203" s="16" t="s">
        <v>627</v>
      </c>
    </row>
    <row r="204" customFormat="false" ht="15" hidden="false" customHeight="false" outlineLevel="0" collapsed="false">
      <c r="A204" s="3" t="s">
        <v>628</v>
      </c>
      <c r="B204" s="3" t="s">
        <v>629</v>
      </c>
      <c r="C204" s="4" t="n">
        <v>2</v>
      </c>
      <c r="D204" s="14" t="n">
        <f aca="false">SUMIFS(D:D,M:M,A204)</f>
        <v>6</v>
      </c>
      <c r="E204" s="4"/>
      <c r="F204" s="15" t="n">
        <f aca="false">_xlfn.MINIFS(F:F,M:M,A204)</f>
        <v>46562</v>
      </c>
      <c r="G204" s="15" t="n">
        <f aca="false">_xlfn.MAXIFS(G:G,M:M,A204)</f>
        <v>46582</v>
      </c>
      <c r="H204" s="6" t="n">
        <f aca="false">NETWORKDAYS(F204,G204,Tong_quan!$F$4:$F$40)</f>
        <v>15</v>
      </c>
      <c r="I204" s="16" t="s">
        <v>75</v>
      </c>
      <c r="J204" s="16" t="s">
        <v>290</v>
      </c>
      <c r="K204" s="4"/>
      <c r="L204" s="4"/>
      <c r="M204" s="4" t="s">
        <v>563</v>
      </c>
      <c r="N204" s="16"/>
    </row>
    <row r="205" customFormat="false" ht="15" hidden="false" customHeight="false" outlineLevel="0" collapsed="false">
      <c r="A205" s="4" t="s">
        <v>630</v>
      </c>
      <c r="B205" s="4" t="s">
        <v>631</v>
      </c>
      <c r="C205" s="4" t="n">
        <v>3</v>
      </c>
      <c r="D205" s="17" t="n">
        <v>2</v>
      </c>
      <c r="E205" s="16" t="s">
        <v>115</v>
      </c>
      <c r="F205" s="5" t="n">
        <v>46581</v>
      </c>
      <c r="G205" s="5" t="n">
        <v>46582</v>
      </c>
      <c r="H205" s="6" t="n">
        <f aca="false">NETWORKDAYS(F205,G205,Tong_quan!$F$4:$F$40)</f>
        <v>2</v>
      </c>
      <c r="I205" s="16" t="s">
        <v>75</v>
      </c>
      <c r="J205" s="16" t="s">
        <v>170</v>
      </c>
      <c r="K205" s="16" t="s">
        <v>632</v>
      </c>
      <c r="L205" s="16"/>
      <c r="M205" s="4" t="s">
        <v>628</v>
      </c>
      <c r="N205" s="16" t="s">
        <v>574</v>
      </c>
    </row>
    <row r="206" customFormat="false" ht="15" hidden="false" customHeight="false" outlineLevel="0" collapsed="false">
      <c r="A206" s="4" t="s">
        <v>633</v>
      </c>
      <c r="B206" s="4" t="s">
        <v>634</v>
      </c>
      <c r="C206" s="4" t="n">
        <v>3</v>
      </c>
      <c r="D206" s="17" t="n">
        <v>3</v>
      </c>
      <c r="E206" s="16" t="s">
        <v>98</v>
      </c>
      <c r="F206" s="5" t="n">
        <v>46562</v>
      </c>
      <c r="G206" s="5" t="n">
        <v>46566</v>
      </c>
      <c r="H206" s="6" t="n">
        <f aca="false">NETWORKDAYS(F206,G206,Tong_quan!$F$4:$F$40)</f>
        <v>3</v>
      </c>
      <c r="I206" s="16" t="s">
        <v>75</v>
      </c>
      <c r="J206" s="16" t="s">
        <v>166</v>
      </c>
      <c r="K206" s="16" t="s">
        <v>635</v>
      </c>
      <c r="L206" s="16"/>
      <c r="M206" s="4" t="s">
        <v>628</v>
      </c>
      <c r="N206" s="16" t="s">
        <v>574</v>
      </c>
    </row>
    <row r="207" customFormat="false" ht="15" hidden="false" customHeight="false" outlineLevel="0" collapsed="false">
      <c r="A207" s="4" t="s">
        <v>636</v>
      </c>
      <c r="B207" s="4" t="s">
        <v>637</v>
      </c>
      <c r="C207" s="4" t="n">
        <v>3</v>
      </c>
      <c r="D207" s="17" t="n">
        <v>1</v>
      </c>
      <c r="E207" s="16" t="s">
        <v>165</v>
      </c>
      <c r="F207" s="5" t="n">
        <v>46575</v>
      </c>
      <c r="G207" s="5" t="n">
        <v>46575</v>
      </c>
      <c r="H207" s="6" t="n">
        <f aca="false">NETWORKDAYS(F207,G207,Tong_quan!$F$4:$F$40)</f>
        <v>1</v>
      </c>
      <c r="I207" s="16" t="s">
        <v>75</v>
      </c>
      <c r="J207" s="16" t="s">
        <v>170</v>
      </c>
      <c r="K207" s="16" t="s">
        <v>620</v>
      </c>
      <c r="L207" s="16"/>
      <c r="M207" s="4" t="s">
        <v>628</v>
      </c>
      <c r="N207" s="16" t="s">
        <v>574</v>
      </c>
    </row>
    <row r="209" customFormat="false" ht="15" hidden="false" customHeight="false" outlineLevel="0" collapsed="false">
      <c r="A209" s="11" t="s">
        <v>638</v>
      </c>
    </row>
  </sheetData>
  <conditionalFormatting sqref="O5:AJ207">
    <cfRule type="expression" priority="2" aboveAverage="0" equalAverage="0" bottom="0" percent="0" rank="0" text="" dxfId="1">
      <formula>AND($C5&lt;3,O$3&lt;=$G5,O$3+4&gt;=$F5)</formula>
    </cfRule>
    <cfRule type="expression" priority="3" aboveAverage="0" equalAverage="0" bottom="0" percent="0" rank="0" text="" dxfId="2">
      <formula>AND($L5="Có",O$3&lt;=$G5,O$3+4&gt;=$F5)</formula>
    </cfRule>
    <cfRule type="expression" priority="4" aboveAverage="0" equalAverage="0" bottom="0" percent="0" rank="0" text="" dxfId="3">
      <formula>AND(O$3&lt;=$G5,O$3+4&gt;=$F5)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15625" defaultRowHeight="15" customHeight="false" zeroHeight="false" outlineLevelRow="0" outlineLevelCol="0"/>
  <cols>
    <col collapsed="false" customWidth="true" hidden="false" outlineLevel="0" max="1" min="1" style="0" width="8"/>
    <col collapsed="false" customWidth="true" hidden="false" outlineLevel="0" max="3" min="2" style="0" width="12"/>
    <col collapsed="false" customWidth="true" hidden="false" outlineLevel="0" max="4" min="4" style="0" width="10"/>
    <col collapsed="false" customWidth="true" hidden="false" outlineLevel="0" max="5" min="5" style="0" width="12"/>
    <col collapsed="false" customWidth="true" hidden="false" outlineLevel="0" max="6" min="6" style="0" width="14"/>
    <col collapsed="false" customWidth="true" hidden="false" outlineLevel="0" max="7" min="7" style="0" width="11"/>
    <col collapsed="false" customWidth="true" hidden="false" outlineLevel="0" max="9" min="8" style="0" width="44"/>
  </cols>
  <sheetData>
    <row r="1" customFormat="false" ht="25" hidden="false" customHeight="false" outlineLevel="0" collapsed="false">
      <c r="A1" s="13" t="s">
        <v>25</v>
      </c>
      <c r="B1" s="13" t="s">
        <v>639</v>
      </c>
      <c r="C1" s="13" t="s">
        <v>640</v>
      </c>
      <c r="D1" s="13" t="s">
        <v>5</v>
      </c>
      <c r="E1" s="13" t="s">
        <v>641</v>
      </c>
      <c r="F1" s="13" t="s">
        <v>7</v>
      </c>
      <c r="G1" s="13" t="s">
        <v>642</v>
      </c>
      <c r="H1" s="13" t="s">
        <v>643</v>
      </c>
      <c r="I1" s="13" t="s">
        <v>644</v>
      </c>
    </row>
    <row r="2" customFormat="false" ht="48.85" hidden="false" customHeight="false" outlineLevel="0" collapsed="false">
      <c r="A2" s="16" t="s">
        <v>80</v>
      </c>
      <c r="B2" s="5" t="n">
        <v>46464</v>
      </c>
      <c r="C2" s="5" t="n">
        <v>46477</v>
      </c>
      <c r="D2" s="6" t="n">
        <f aca="false">NETWORKDAYS(B2,C2,Tong_quan!$F$4:$F$40)</f>
        <v>10</v>
      </c>
      <c r="E2" s="7" t="n">
        <f aca="false">SUMIFS(Phan_bo!D:D,Phan_bo!C:C,A2)</f>
        <v>54.29</v>
      </c>
      <c r="F2" s="7" t="n">
        <f aca="false">SUMIFS(Phan_bo!E:E,Phan_bo!C:C,A2)</f>
        <v>80</v>
      </c>
      <c r="G2" s="8" t="n">
        <f aca="false">IF(F2=0,0,E2/F2)</f>
        <v>0.678625</v>
      </c>
      <c r="H2" s="18" t="s">
        <v>645</v>
      </c>
      <c r="I2" s="18" t="s">
        <v>646</v>
      </c>
    </row>
    <row r="3" customFormat="false" ht="72.7" hidden="false" customHeight="false" outlineLevel="0" collapsed="false">
      <c r="A3" s="16" t="s">
        <v>85</v>
      </c>
      <c r="B3" s="5" t="n">
        <v>46478</v>
      </c>
      <c r="C3" s="5" t="n">
        <v>46491</v>
      </c>
      <c r="D3" s="6" t="n">
        <f aca="false">NETWORKDAYS(B3,C3,Tong_quan!$F$4:$F$40)</f>
        <v>10</v>
      </c>
      <c r="E3" s="7" t="n">
        <f aca="false">SUMIFS(Phan_bo!D:D,Phan_bo!C:C,A3)</f>
        <v>71.76</v>
      </c>
      <c r="F3" s="7" t="n">
        <f aca="false">SUMIFS(Phan_bo!E:E,Phan_bo!C:C,A3)</f>
        <v>100</v>
      </c>
      <c r="G3" s="8" t="n">
        <f aca="false">IF(F3=0,0,E3/F3)</f>
        <v>0.7176</v>
      </c>
      <c r="H3" s="18" t="s">
        <v>647</v>
      </c>
      <c r="I3" s="18" t="s">
        <v>648</v>
      </c>
    </row>
    <row r="4" customFormat="false" ht="84.65" hidden="false" customHeight="false" outlineLevel="0" collapsed="false">
      <c r="A4" s="16" t="s">
        <v>99</v>
      </c>
      <c r="B4" s="5" t="n">
        <v>46492</v>
      </c>
      <c r="C4" s="5" t="n">
        <v>46513</v>
      </c>
      <c r="D4" s="6" t="n">
        <f aca="false">NETWORKDAYS(B4,C4,Tong_quan!$F$4:$F$40)</f>
        <v>13</v>
      </c>
      <c r="E4" s="7" t="n">
        <f aca="false">SUMIFS(Phan_bo!D:D,Phan_bo!C:C,A4)</f>
        <v>127.57</v>
      </c>
      <c r="F4" s="7" t="n">
        <f aca="false">SUMIFS(Phan_bo!E:E,Phan_bo!C:C,A4)</f>
        <v>156</v>
      </c>
      <c r="G4" s="8" t="n">
        <f aca="false">IF(F4=0,0,E4/F4)</f>
        <v>0.81775641025641</v>
      </c>
      <c r="H4" s="18" t="s">
        <v>649</v>
      </c>
      <c r="I4" s="18" t="s">
        <v>650</v>
      </c>
    </row>
    <row r="5" customFormat="false" ht="84.65" hidden="false" customHeight="false" outlineLevel="0" collapsed="false">
      <c r="A5" s="16" t="s">
        <v>120</v>
      </c>
      <c r="B5" s="5" t="n">
        <v>46514</v>
      </c>
      <c r="C5" s="5" t="n">
        <v>46527</v>
      </c>
      <c r="D5" s="6" t="n">
        <f aca="false">NETWORKDAYS(B5,C5,Tong_quan!$F$4:$F$40)</f>
        <v>10</v>
      </c>
      <c r="E5" s="7" t="n">
        <f aca="false">SUMIFS(Phan_bo!D:D,Phan_bo!C:C,A5)</f>
        <v>114.27</v>
      </c>
      <c r="F5" s="7" t="n">
        <f aca="false">SUMIFS(Phan_bo!E:E,Phan_bo!C:C,A5)</f>
        <v>120</v>
      </c>
      <c r="G5" s="8" t="n">
        <f aca="false">IF(F5=0,0,E5/F5)</f>
        <v>0.95225</v>
      </c>
      <c r="H5" s="18" t="s">
        <v>651</v>
      </c>
      <c r="I5" s="18" t="s">
        <v>652</v>
      </c>
    </row>
    <row r="6" customFormat="false" ht="108.5" hidden="false" customHeight="false" outlineLevel="0" collapsed="false">
      <c r="A6" s="16" t="s">
        <v>141</v>
      </c>
      <c r="B6" s="5" t="n">
        <v>46528</v>
      </c>
      <c r="C6" s="5" t="n">
        <v>46541</v>
      </c>
      <c r="D6" s="6" t="n">
        <f aca="false">NETWORKDAYS(B6,C6,Tong_quan!$F$4:$F$40)</f>
        <v>10</v>
      </c>
      <c r="E6" s="7" t="n">
        <f aca="false">SUMIFS(Phan_bo!D:D,Phan_bo!C:C,A6)</f>
        <v>95.67</v>
      </c>
      <c r="F6" s="7" t="n">
        <f aca="false">SUMIFS(Phan_bo!E:E,Phan_bo!C:C,A6)</f>
        <v>120</v>
      </c>
      <c r="G6" s="8" t="n">
        <f aca="false">IF(F6=0,0,E6/F6)</f>
        <v>0.79725</v>
      </c>
      <c r="H6" s="18" t="s">
        <v>653</v>
      </c>
      <c r="I6" s="18" t="s">
        <v>654</v>
      </c>
    </row>
    <row r="7" customFormat="false" ht="108.5" hidden="false" customHeight="false" outlineLevel="0" collapsed="false">
      <c r="A7" s="16" t="s">
        <v>155</v>
      </c>
      <c r="B7" s="5" t="n">
        <v>46542</v>
      </c>
      <c r="C7" s="5" t="n">
        <v>46555</v>
      </c>
      <c r="D7" s="6" t="n">
        <f aca="false">NETWORKDAYS(B7,C7,Tong_quan!$F$4:$F$40)</f>
        <v>10</v>
      </c>
      <c r="E7" s="7" t="n">
        <f aca="false">SUMIFS(Phan_bo!D:D,Phan_bo!C:C,A7)</f>
        <v>90.87</v>
      </c>
      <c r="F7" s="7" t="n">
        <f aca="false">SUMIFS(Phan_bo!E:E,Phan_bo!C:C,A7)</f>
        <v>120</v>
      </c>
      <c r="G7" s="8" t="n">
        <f aca="false">IF(F7=0,0,E7/F7)</f>
        <v>0.75725</v>
      </c>
      <c r="H7" s="18" t="s">
        <v>655</v>
      </c>
      <c r="I7" s="18" t="s">
        <v>656</v>
      </c>
    </row>
    <row r="8" customFormat="false" ht="108.5" hidden="false" customHeight="false" outlineLevel="0" collapsed="false">
      <c r="A8" s="16" t="s">
        <v>166</v>
      </c>
      <c r="B8" s="5" t="n">
        <v>46556</v>
      </c>
      <c r="C8" s="5" t="n">
        <v>46569</v>
      </c>
      <c r="D8" s="6" t="n">
        <f aca="false">NETWORKDAYS(B8,C8,Tong_quan!$F$4:$F$40)</f>
        <v>10</v>
      </c>
      <c r="E8" s="7" t="n">
        <f aca="false">SUMIFS(Phan_bo!D:D,Phan_bo!C:C,A8)</f>
        <v>61.52</v>
      </c>
      <c r="F8" s="7" t="n">
        <f aca="false">SUMIFS(Phan_bo!E:E,Phan_bo!C:C,A8)</f>
        <v>69</v>
      </c>
      <c r="G8" s="8" t="n">
        <f aca="false">IF(F8=0,0,E8/F8)</f>
        <v>0.891594202898551</v>
      </c>
      <c r="H8" s="18" t="s">
        <v>657</v>
      </c>
      <c r="I8" s="18" t="s">
        <v>658</v>
      </c>
    </row>
    <row r="9" customFormat="false" ht="72.7" hidden="false" customHeight="false" outlineLevel="0" collapsed="false">
      <c r="A9" s="16" t="s">
        <v>170</v>
      </c>
      <c r="B9" s="5" t="n">
        <v>46570</v>
      </c>
      <c r="C9" s="5" t="n">
        <v>46583</v>
      </c>
      <c r="D9" s="6" t="n">
        <f aca="false">NETWORKDAYS(B9,C9,Tong_quan!$F$4:$F$40)</f>
        <v>10</v>
      </c>
      <c r="E9" s="7" t="n">
        <f aca="false">SUMIFS(Phan_bo!D:D,Phan_bo!C:C,A9)</f>
        <v>40.53</v>
      </c>
      <c r="F9" s="7" t="n">
        <f aca="false">SUMIFS(Phan_bo!E:E,Phan_bo!C:C,A9)</f>
        <v>53</v>
      </c>
      <c r="G9" s="8" t="n">
        <f aca="false">IF(F9=0,0,E9/F9)</f>
        <v>0.764716981132076</v>
      </c>
      <c r="H9" s="18" t="s">
        <v>659</v>
      </c>
      <c r="I9" s="18" t="s">
        <v>660</v>
      </c>
    </row>
    <row r="10" customFormat="false" ht="84.65" hidden="false" customHeight="false" outlineLevel="0" collapsed="false">
      <c r="A10" s="16" t="s">
        <v>183</v>
      </c>
      <c r="B10" s="5" t="n">
        <v>46584</v>
      </c>
      <c r="C10" s="5" t="n">
        <v>46597</v>
      </c>
      <c r="D10" s="6" t="n">
        <f aca="false">NETWORKDAYS(B10,C10,Tong_quan!$F$4:$F$40)</f>
        <v>10</v>
      </c>
      <c r="E10" s="7" t="n">
        <f aca="false">SUMIFS(Phan_bo!D:D,Phan_bo!C:C,A10)</f>
        <v>74.52</v>
      </c>
      <c r="F10" s="7" t="n">
        <f aca="false">SUMIFS(Phan_bo!E:E,Phan_bo!C:C,A10)</f>
        <v>88</v>
      </c>
      <c r="G10" s="8" t="n">
        <f aca="false">IF(F10=0,0,E10/F10)</f>
        <v>0.846818181818182</v>
      </c>
      <c r="H10" s="18" t="s">
        <v>661</v>
      </c>
      <c r="I10" s="18" t="s">
        <v>662</v>
      </c>
    </row>
    <row r="11" customFormat="false" ht="25" hidden="false" customHeight="false" outlineLevel="0" collapsed="false">
      <c r="A11" s="16" t="s">
        <v>663</v>
      </c>
      <c r="E11" s="7" t="n">
        <f aca="false">SUMIFS(Phan_bo!D:D,Phan_bo!C:C,A11)</f>
        <v>2</v>
      </c>
      <c r="F11" s="7" t="n">
        <f aca="false">SUMIFS(Phan_bo!E:E,Phan_bo!C:C,A11)</f>
        <v>2</v>
      </c>
      <c r="H11" s="18" t="s">
        <v>664</v>
      </c>
    </row>
    <row r="12" customFormat="false" ht="15" hidden="false" customHeight="false" outlineLevel="0" collapsed="false">
      <c r="A12" s="3" t="s">
        <v>665</v>
      </c>
      <c r="D12" s="19" t="n">
        <f aca="false">SUM(D2:D11)</f>
        <v>93</v>
      </c>
      <c r="E12" s="14" t="n">
        <f aca="false">SUM(E2:E11)</f>
        <v>733</v>
      </c>
      <c r="F12" s="14" t="n">
        <f aca="false">SUM(F2:F11)</f>
        <v>908</v>
      </c>
      <c r="G12" s="20" t="n">
        <f aca="false">IF(F12=0,0,E12/F12)</f>
        <v>0.80726872246696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15625" defaultRowHeight="15" customHeight="false"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4" min="3" style="0" width="12"/>
    <col collapsed="false" customWidth="true" hidden="false" outlineLevel="0" max="5" min="5" style="0" width="13"/>
    <col collapsed="false" customWidth="true" hidden="false" outlineLevel="0" max="6" min="6" style="0" width="26"/>
    <col collapsed="false" customWidth="true" hidden="false" outlineLevel="0" max="7" min="7" style="0" width="10"/>
    <col collapsed="false" customWidth="true" hidden="false" outlineLevel="0" max="8" min="8" style="0" width="8"/>
  </cols>
  <sheetData>
    <row r="1" customFormat="false" ht="25" hidden="false" customHeight="false" outlineLevel="0" collapsed="false">
      <c r="A1" s="13" t="s">
        <v>666</v>
      </c>
      <c r="B1" s="13" t="s">
        <v>667</v>
      </c>
      <c r="C1" s="13" t="s">
        <v>668</v>
      </c>
      <c r="D1" s="13" t="s">
        <v>669</v>
      </c>
      <c r="E1" s="13" t="s">
        <v>670</v>
      </c>
      <c r="F1" s="13" t="s">
        <v>671</v>
      </c>
      <c r="G1" s="13" t="s">
        <v>672</v>
      </c>
      <c r="H1" s="13" t="s">
        <v>25</v>
      </c>
    </row>
    <row r="2" customFormat="false" ht="15" hidden="false" customHeight="false" outlineLevel="0" collapsed="false">
      <c r="A2" s="16" t="s">
        <v>673</v>
      </c>
      <c r="B2" s="18" t="s">
        <v>674</v>
      </c>
      <c r="C2" s="5" t="n">
        <v>46464</v>
      </c>
      <c r="D2" s="5"/>
      <c r="E2" s="4" t="str">
        <f aca="false">IF(D2="","Không có hạn",IF(C2&lt;=D2,"Đúng hạn","Trễ hạn"))</f>
        <v>Không có hạn</v>
      </c>
      <c r="F2" s="18" t="s">
        <v>675</v>
      </c>
      <c r="G2" s="16" t="n">
        <v>1</v>
      </c>
      <c r="H2" s="16" t="s">
        <v>80</v>
      </c>
    </row>
    <row r="3" customFormat="false" ht="15" hidden="false" customHeight="false" outlineLevel="0" collapsed="false">
      <c r="A3" s="16" t="s">
        <v>676</v>
      </c>
      <c r="B3" s="18" t="s">
        <v>677</v>
      </c>
      <c r="C3" s="5" t="n">
        <v>46491</v>
      </c>
      <c r="D3" s="5" t="n">
        <v>46491</v>
      </c>
      <c r="E3" s="4" t="str">
        <f aca="false">IF(D3="","Không có hạn",IF(C3&lt;=D3,"Đúng hạn","Trễ hạn"))</f>
        <v>Đúng hạn</v>
      </c>
      <c r="F3" s="18" t="s">
        <v>325</v>
      </c>
      <c r="G3" s="16"/>
      <c r="H3" s="16" t="s">
        <v>85</v>
      </c>
    </row>
    <row r="4" customFormat="false" ht="25" hidden="false" customHeight="false" outlineLevel="0" collapsed="false">
      <c r="A4" s="16" t="s">
        <v>678</v>
      </c>
      <c r="B4" s="18" t="s">
        <v>679</v>
      </c>
      <c r="C4" s="5" t="n">
        <v>46513</v>
      </c>
      <c r="D4" s="5" t="n">
        <v>46517</v>
      </c>
      <c r="E4" s="4" t="str">
        <f aca="false">IF(D4="","Không có hạn",IF(C4&lt;=D4,"Đúng hạn","Trễ hạn"))</f>
        <v>Đúng hạn</v>
      </c>
      <c r="F4" s="18" t="s">
        <v>336</v>
      </c>
      <c r="G4" s="16" t="n">
        <v>2</v>
      </c>
      <c r="H4" s="16" t="s">
        <v>99</v>
      </c>
    </row>
    <row r="5" customFormat="false" ht="25" hidden="false" customHeight="false" outlineLevel="0" collapsed="false">
      <c r="A5" s="16" t="s">
        <v>680</v>
      </c>
      <c r="B5" s="18" t="s">
        <v>681</v>
      </c>
      <c r="C5" s="5" t="n">
        <v>46576</v>
      </c>
      <c r="D5" s="5" t="n">
        <v>46576</v>
      </c>
      <c r="E5" s="4" t="str">
        <f aca="false">IF(D5="","Không có hạn",IF(C5&lt;=D5,"Đúng hạn","Trễ hạn"))</f>
        <v>Đúng hạn</v>
      </c>
      <c r="F5" s="18" t="s">
        <v>534</v>
      </c>
      <c r="G5" s="16" t="n">
        <v>3</v>
      </c>
      <c r="H5" s="16" t="s">
        <v>170</v>
      </c>
    </row>
    <row r="6" customFormat="false" ht="25" hidden="false" customHeight="false" outlineLevel="0" collapsed="false">
      <c r="A6" s="16" t="s">
        <v>682</v>
      </c>
      <c r="B6" s="18" t="s">
        <v>683</v>
      </c>
      <c r="C6" s="5" t="n">
        <v>46576</v>
      </c>
      <c r="D6" s="5" t="n">
        <v>46583</v>
      </c>
      <c r="E6" s="4" t="str">
        <f aca="false">IF(D6="","Không có hạn",IF(C6&lt;=D6,"Đúng hạn","Trễ hạn"))</f>
        <v>Đúng hạn</v>
      </c>
      <c r="F6" s="18" t="s">
        <v>684</v>
      </c>
      <c r="G6" s="16"/>
      <c r="H6" s="16" t="s">
        <v>170</v>
      </c>
    </row>
    <row r="7" customFormat="false" ht="25" hidden="false" customHeight="false" outlineLevel="0" collapsed="false">
      <c r="A7" s="16" t="s">
        <v>685</v>
      </c>
      <c r="B7" s="18" t="s">
        <v>686</v>
      </c>
      <c r="C7" s="5" t="n">
        <v>46595</v>
      </c>
      <c r="D7" s="5" t="n">
        <v>46595</v>
      </c>
      <c r="E7" s="4" t="str">
        <f aca="false">IF(D7="","Không có hạn",IF(C7&lt;=D7,"Đúng hạn","Trễ hạn"))</f>
        <v>Đúng hạn</v>
      </c>
      <c r="F7" s="18" t="s">
        <v>687</v>
      </c>
      <c r="G7" s="16" t="n">
        <v>6</v>
      </c>
      <c r="H7" s="16" t="s">
        <v>183</v>
      </c>
    </row>
    <row r="8" customFormat="false" ht="25" hidden="false" customHeight="false" outlineLevel="0" collapsed="false">
      <c r="A8" s="16" t="s">
        <v>688</v>
      </c>
      <c r="B8" s="18" t="s">
        <v>689</v>
      </c>
      <c r="C8" s="5" t="n">
        <v>46595</v>
      </c>
      <c r="D8" s="5" t="n">
        <v>46596</v>
      </c>
      <c r="E8" s="4" t="str">
        <f aca="false">IF(D8="","Không có hạn",IF(C8&lt;=D8,"Đúng hạn","Trễ hạn"))</f>
        <v>Đúng hạn</v>
      </c>
      <c r="F8" s="18" t="s">
        <v>690</v>
      </c>
      <c r="G8" s="16"/>
      <c r="H8" s="16" t="s">
        <v>183</v>
      </c>
    </row>
    <row r="9" customFormat="false" ht="25" hidden="false" customHeight="false" outlineLevel="0" collapsed="false">
      <c r="A9" s="16" t="s">
        <v>691</v>
      </c>
      <c r="B9" s="18" t="s">
        <v>692</v>
      </c>
      <c r="C9" s="5" t="n">
        <v>46597</v>
      </c>
      <c r="D9" s="5" t="n">
        <v>46597</v>
      </c>
      <c r="E9" s="4" t="str">
        <f aca="false">IF(D9="","Không có hạn",IF(C9&lt;=D9,"Đúng hạn","Trễ hạn"))</f>
        <v>Đúng hạn</v>
      </c>
      <c r="F9" s="18" t="s">
        <v>675</v>
      </c>
      <c r="G9" s="16" t="n">
        <v>4</v>
      </c>
      <c r="H9" s="16" t="s">
        <v>183</v>
      </c>
    </row>
    <row r="10" customFormat="false" ht="25" hidden="false" customHeight="false" outlineLevel="0" collapsed="false">
      <c r="A10" s="16" t="s">
        <v>693</v>
      </c>
      <c r="B10" s="18" t="s">
        <v>694</v>
      </c>
      <c r="C10" s="5" t="n">
        <v>46597</v>
      </c>
      <c r="D10" s="5" t="n">
        <v>46597</v>
      </c>
      <c r="E10" s="4" t="str">
        <f aca="false">IF(D10="","Không có hạn",IF(C10&lt;=D10,"Đúng hạn","Trễ hạn"))</f>
        <v>Đúng hạn</v>
      </c>
      <c r="F10" s="18" t="s">
        <v>695</v>
      </c>
      <c r="G10" s="16" t="n">
        <v>5</v>
      </c>
      <c r="H10" s="16" t="s">
        <v>183</v>
      </c>
    </row>
    <row r="11" customFormat="false" ht="25" hidden="false" customHeight="false" outlineLevel="0" collapsed="false">
      <c r="A11" s="16" t="s">
        <v>696</v>
      </c>
      <c r="B11" s="18" t="s">
        <v>697</v>
      </c>
      <c r="C11" s="5" t="n">
        <v>46603</v>
      </c>
      <c r="D11" s="5" t="n">
        <v>46611</v>
      </c>
      <c r="E11" s="4" t="str">
        <f aca="false">IF(D11="","Không có hạn",IF(C11&lt;=D11,"Đúng hạn","Trễ hạn"))</f>
        <v>Đúng hạn</v>
      </c>
      <c r="F11" s="18" t="s">
        <v>70</v>
      </c>
      <c r="G11" s="16"/>
      <c r="H11" s="16" t="s">
        <v>663</v>
      </c>
    </row>
  </sheetData>
  <conditionalFormatting sqref="E2:E11">
    <cfRule type="expression" priority="2" aboveAverage="0" equalAverage="0" bottom="0" percent="0" rank="0" text="" dxfId="0">
      <formula>E2="Trễ hạn"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15625" defaultRowHeight="15" customHeight="false" zeroHeight="false" outlineLevelRow="0" outlineLevelCol="0"/>
  <cols>
    <col collapsed="false" customWidth="true" hidden="false" outlineLevel="0" max="1" min="1" style="0" width="14"/>
    <col collapsed="false" customWidth="true" hidden="false" outlineLevel="0" max="3" min="2" style="0" width="12"/>
    <col collapsed="false" customWidth="true" hidden="false" outlineLevel="0" max="4" min="4" style="0" width="10"/>
    <col collapsed="false" customWidth="true" hidden="false" outlineLevel="0" max="5" min="5" style="0" width="8"/>
    <col collapsed="false" customWidth="true" hidden="false" outlineLevel="0" max="6" min="6" style="0" width="9"/>
    <col collapsed="false" customWidth="true" hidden="false" outlineLevel="0" max="7" min="7" style="0" width="30"/>
    <col collapsed="false" customWidth="true" hidden="false" outlineLevel="0" max="8" min="8" style="0" width="60"/>
  </cols>
  <sheetData>
    <row r="1" customFormat="false" ht="17.35" hidden="false" customHeight="false" outlineLevel="0" collapsed="false">
      <c r="A1" s="1" t="s">
        <v>698</v>
      </c>
    </row>
    <row r="3" customFormat="false" ht="25" hidden="false" customHeight="false" outlineLevel="0" collapsed="false">
      <c r="A3" s="13" t="s">
        <v>24</v>
      </c>
      <c r="B3" s="13" t="s">
        <v>639</v>
      </c>
      <c r="C3" s="13" t="s">
        <v>640</v>
      </c>
      <c r="D3" s="13" t="s">
        <v>5</v>
      </c>
      <c r="E3" s="13" t="s">
        <v>699</v>
      </c>
      <c r="F3" s="13" t="s">
        <v>20</v>
      </c>
      <c r="G3" s="13" t="s">
        <v>700</v>
      </c>
      <c r="H3" s="13" t="s">
        <v>701</v>
      </c>
    </row>
    <row r="4" customFormat="false" ht="25" hidden="false" customHeight="false" outlineLevel="0" collapsed="false">
      <c r="A4" s="16" t="s">
        <v>61</v>
      </c>
      <c r="B4" s="5" t="n">
        <v>46464</v>
      </c>
      <c r="C4" s="5" t="n">
        <v>46491</v>
      </c>
      <c r="D4" s="6" t="n">
        <f aca="false">NETWORKDAYS(B4,C4,Tong_quan!$F$4:$F$40)</f>
        <v>20</v>
      </c>
      <c r="E4" s="6" t="n">
        <f aca="false">COUNTIFS(Lich_trinh!$I:$I,A4,Lich_trinh!$E:$E,"?*")</f>
        <v>4</v>
      </c>
      <c r="F4" s="17" t="n">
        <v>11</v>
      </c>
      <c r="G4" s="18" t="s">
        <v>702</v>
      </c>
      <c r="H4" s="18" t="s">
        <v>703</v>
      </c>
    </row>
    <row r="5" customFormat="false" ht="25" hidden="false" customHeight="false" outlineLevel="0" collapsed="false">
      <c r="A5" s="16" t="s">
        <v>65</v>
      </c>
      <c r="B5" s="5" t="n">
        <v>46464</v>
      </c>
      <c r="C5" s="5" t="n">
        <v>46597</v>
      </c>
      <c r="D5" s="6" t="n">
        <f aca="false">NETWORKDAYS(B5,C5,Tong_quan!$F$4:$F$40)</f>
        <v>93</v>
      </c>
      <c r="E5" s="6" t="n">
        <f aca="false">COUNTIFS(Lich_trinh!$I:$I,A5,Lich_trinh!$E:$E,"?*")</f>
        <v>14</v>
      </c>
      <c r="F5" s="17" t="n">
        <v>42</v>
      </c>
      <c r="G5" s="18" t="s">
        <v>704</v>
      </c>
      <c r="H5" s="18" t="s">
        <v>705</v>
      </c>
    </row>
    <row r="6" customFormat="false" ht="15" hidden="false" customHeight="false" outlineLevel="0" collapsed="false">
      <c r="A6" s="16" t="s">
        <v>75</v>
      </c>
      <c r="B6" s="5" t="n">
        <v>46464</v>
      </c>
      <c r="C6" s="5" t="n">
        <v>46597</v>
      </c>
      <c r="D6" s="6" t="n">
        <f aca="false">NETWORKDAYS(B6,C6,Tong_quan!$F$4:$F$40)</f>
        <v>93</v>
      </c>
      <c r="E6" s="9" t="n">
        <v>154</v>
      </c>
      <c r="F6" s="17" t="n">
        <v>678</v>
      </c>
      <c r="G6" s="18" t="s">
        <v>706</v>
      </c>
      <c r="H6" s="18" t="s">
        <v>707</v>
      </c>
    </row>
    <row r="7" customFormat="false" ht="15" hidden="false" customHeight="false" outlineLevel="0" collapsed="false">
      <c r="A7" s="16" t="s">
        <v>23</v>
      </c>
      <c r="B7" s="5" t="n">
        <v>46598</v>
      </c>
      <c r="C7" s="5" t="n">
        <v>46611</v>
      </c>
      <c r="D7" s="6" t="n">
        <f aca="false">NETWORKDAYS(B7,C7,Tong_quan!$F$4:$F$40)</f>
        <v>10</v>
      </c>
      <c r="E7" s="6" t="n">
        <f aca="false">COUNTIFS(Lich_trinh!$I:$I,A7,Lich_trinh!$E:$E,"?*")</f>
        <v>1</v>
      </c>
      <c r="F7" s="17" t="n">
        <v>2</v>
      </c>
      <c r="G7" s="18" t="s">
        <v>708</v>
      </c>
      <c r="H7" s="18" t="s">
        <v>70</v>
      </c>
    </row>
    <row r="8" customFormat="false" ht="15" hidden="false" customHeight="false" outlineLevel="0" collapsed="false">
      <c r="A8" s="3" t="s">
        <v>665</v>
      </c>
      <c r="F8" s="14" t="n">
        <f aca="false">SUM(F4:F7)</f>
        <v>733</v>
      </c>
    </row>
    <row r="10" customFormat="false" ht="15" hidden="false" customHeight="false" outlineLevel="0" collapsed="false">
      <c r="A10" s="11" t="s">
        <v>709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15625" defaultRowHeight="15" customHeight="false"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8"/>
    <col collapsed="false" customWidth="true" hidden="false" outlineLevel="0" max="4" min="4" style="0" width="12"/>
    <col collapsed="false" customWidth="true" hidden="false" outlineLevel="0" max="5" min="5" style="0" width="14"/>
    <col collapsed="false" customWidth="true" hidden="false" outlineLevel="0" max="6" min="6" style="0" width="9"/>
  </cols>
  <sheetData>
    <row r="1" customFormat="false" ht="25" hidden="false" customHeight="false" outlineLevel="0" collapsed="false">
      <c r="A1" s="13" t="s">
        <v>710</v>
      </c>
      <c r="B1" s="13" t="s">
        <v>711</v>
      </c>
      <c r="C1" s="13" t="s">
        <v>25</v>
      </c>
      <c r="D1" s="13" t="s">
        <v>641</v>
      </c>
      <c r="E1" s="13" t="s">
        <v>7</v>
      </c>
      <c r="F1" s="13" t="s">
        <v>712</v>
      </c>
    </row>
    <row r="2" customFormat="false" ht="15" hidden="false" customHeight="false" outlineLevel="0" collapsed="false">
      <c r="A2" s="16" t="s">
        <v>713</v>
      </c>
      <c r="B2" s="16" t="s">
        <v>60</v>
      </c>
      <c r="C2" s="16" t="s">
        <v>80</v>
      </c>
      <c r="D2" s="17" t="n">
        <v>8.76</v>
      </c>
      <c r="E2" s="17" t="n">
        <v>10</v>
      </c>
      <c r="F2" s="8" t="n">
        <f aca="false">IF(E2=0,0,D2/E2)</f>
        <v>0.876</v>
      </c>
    </row>
    <row r="3" customFormat="false" ht="15" hidden="false" customHeight="false" outlineLevel="0" collapsed="false">
      <c r="A3" s="16" t="s">
        <v>713</v>
      </c>
      <c r="B3" s="16" t="s">
        <v>60</v>
      </c>
      <c r="C3" s="16" t="s">
        <v>85</v>
      </c>
      <c r="D3" s="17" t="n">
        <v>8.79</v>
      </c>
      <c r="E3" s="17" t="n">
        <v>10</v>
      </c>
      <c r="F3" s="8" t="n">
        <f aca="false">IF(E3=0,0,D3/E3)</f>
        <v>0.879</v>
      </c>
    </row>
    <row r="4" customFormat="false" ht="15" hidden="false" customHeight="false" outlineLevel="0" collapsed="false">
      <c r="A4" s="16" t="s">
        <v>713</v>
      </c>
      <c r="B4" s="16" t="s">
        <v>60</v>
      </c>
      <c r="C4" s="16" t="s">
        <v>99</v>
      </c>
      <c r="D4" s="17" t="n">
        <v>11.74</v>
      </c>
      <c r="E4" s="17" t="n">
        <v>13</v>
      </c>
      <c r="F4" s="8" t="n">
        <f aca="false">IF(E4=0,0,D4/E4)</f>
        <v>0.903076923076923</v>
      </c>
    </row>
    <row r="5" customFormat="false" ht="15" hidden="false" customHeight="false" outlineLevel="0" collapsed="false">
      <c r="A5" s="16" t="s">
        <v>713</v>
      </c>
      <c r="B5" s="16" t="s">
        <v>60</v>
      </c>
      <c r="C5" s="16" t="s">
        <v>120</v>
      </c>
      <c r="D5" s="17" t="n">
        <v>8.93</v>
      </c>
      <c r="E5" s="17" t="n">
        <v>10</v>
      </c>
      <c r="F5" s="8" t="n">
        <f aca="false">IF(E5=0,0,D5/E5)</f>
        <v>0.893</v>
      </c>
    </row>
    <row r="6" customFormat="false" ht="15" hidden="false" customHeight="false" outlineLevel="0" collapsed="false">
      <c r="A6" s="16" t="s">
        <v>713</v>
      </c>
      <c r="B6" s="16" t="s">
        <v>60</v>
      </c>
      <c r="C6" s="16" t="s">
        <v>141</v>
      </c>
      <c r="D6" s="17" t="n">
        <v>5.02</v>
      </c>
      <c r="E6" s="17" t="n">
        <v>10</v>
      </c>
      <c r="F6" s="8" t="n">
        <f aca="false">IF(E6=0,0,D6/E6)</f>
        <v>0.502</v>
      </c>
    </row>
    <row r="7" customFormat="false" ht="15" hidden="false" customHeight="false" outlineLevel="0" collapsed="false">
      <c r="A7" s="16" t="s">
        <v>713</v>
      </c>
      <c r="B7" s="16" t="s">
        <v>60</v>
      </c>
      <c r="C7" s="16" t="s">
        <v>155</v>
      </c>
      <c r="D7" s="17" t="n">
        <v>4.52</v>
      </c>
      <c r="E7" s="17" t="n">
        <v>10</v>
      </c>
      <c r="F7" s="8" t="n">
        <f aca="false">IF(E7=0,0,D7/E7)</f>
        <v>0.452</v>
      </c>
    </row>
    <row r="8" customFormat="false" ht="15" hidden="false" customHeight="false" outlineLevel="0" collapsed="false">
      <c r="A8" s="16" t="s">
        <v>713</v>
      </c>
      <c r="B8" s="16" t="s">
        <v>60</v>
      </c>
      <c r="C8" s="16" t="s">
        <v>166</v>
      </c>
      <c r="D8" s="17" t="n">
        <v>5.52</v>
      </c>
      <c r="E8" s="17" t="n">
        <v>7</v>
      </c>
      <c r="F8" s="8" t="n">
        <f aca="false">IF(E8=0,0,D8/E8)</f>
        <v>0.788571428571429</v>
      </c>
    </row>
    <row r="9" customFormat="false" ht="15" hidden="false" customHeight="false" outlineLevel="0" collapsed="false">
      <c r="A9" s="16" t="s">
        <v>713</v>
      </c>
      <c r="B9" s="16" t="s">
        <v>60</v>
      </c>
      <c r="C9" s="16" t="s">
        <v>170</v>
      </c>
      <c r="D9" s="17" t="n">
        <v>6.53</v>
      </c>
      <c r="E9" s="17" t="n">
        <v>8</v>
      </c>
      <c r="F9" s="8" t="n">
        <f aca="false">IF(E9=0,0,D9/E9)</f>
        <v>0.81625</v>
      </c>
    </row>
    <row r="10" customFormat="false" ht="15" hidden="false" customHeight="false" outlineLevel="0" collapsed="false">
      <c r="A10" s="16" t="s">
        <v>713</v>
      </c>
      <c r="B10" s="16" t="s">
        <v>60</v>
      </c>
      <c r="C10" s="16" t="s">
        <v>183</v>
      </c>
      <c r="D10" s="17" t="n">
        <v>4.52</v>
      </c>
      <c r="E10" s="17" t="n">
        <v>6</v>
      </c>
      <c r="F10" s="8" t="n">
        <f aca="false">IF(E10=0,0,D10/E10)</f>
        <v>0.753333333333333</v>
      </c>
    </row>
    <row r="11" customFormat="false" ht="15" hidden="false" customHeight="false" outlineLevel="0" collapsed="false">
      <c r="A11" s="16" t="s">
        <v>713</v>
      </c>
      <c r="B11" s="16" t="s">
        <v>60</v>
      </c>
      <c r="C11" s="16" t="s">
        <v>663</v>
      </c>
      <c r="D11" s="17" t="n">
        <v>2</v>
      </c>
      <c r="E11" s="17" t="n">
        <v>2</v>
      </c>
      <c r="F11" s="8" t="n">
        <f aca="false">IF(E11=0,0,D11/E11)</f>
        <v>1</v>
      </c>
    </row>
    <row r="12" customFormat="false" ht="15" hidden="false" customHeight="false" outlineLevel="0" collapsed="false">
      <c r="A12" s="16" t="s">
        <v>714</v>
      </c>
      <c r="B12" s="16" t="s">
        <v>119</v>
      </c>
      <c r="C12" s="16" t="s">
        <v>80</v>
      </c>
      <c r="D12" s="17" t="n">
        <v>4</v>
      </c>
      <c r="E12" s="17" t="n">
        <v>10</v>
      </c>
      <c r="F12" s="8" t="n">
        <f aca="false">IF(E12=0,0,D12/E12)</f>
        <v>0.4</v>
      </c>
    </row>
    <row r="13" customFormat="false" ht="15" hidden="false" customHeight="false" outlineLevel="0" collapsed="false">
      <c r="A13" s="16" t="s">
        <v>714</v>
      </c>
      <c r="B13" s="16" t="s">
        <v>119</v>
      </c>
      <c r="C13" s="16" t="s">
        <v>85</v>
      </c>
      <c r="D13" s="17" t="n">
        <v>5</v>
      </c>
      <c r="E13" s="17" t="n">
        <v>10</v>
      </c>
      <c r="F13" s="8" t="n">
        <f aca="false">IF(E13=0,0,D13/E13)</f>
        <v>0.5</v>
      </c>
    </row>
    <row r="14" customFormat="false" ht="15" hidden="false" customHeight="false" outlineLevel="0" collapsed="false">
      <c r="A14" s="16" t="s">
        <v>714</v>
      </c>
      <c r="B14" s="16" t="s">
        <v>119</v>
      </c>
      <c r="C14" s="16" t="s">
        <v>99</v>
      </c>
      <c r="D14" s="17" t="n">
        <v>7</v>
      </c>
      <c r="E14" s="17" t="n">
        <v>13</v>
      </c>
      <c r="F14" s="8" t="n">
        <f aca="false">IF(E14=0,0,D14/E14)</f>
        <v>0.538461538461538</v>
      </c>
    </row>
    <row r="15" customFormat="false" ht="15" hidden="false" customHeight="false" outlineLevel="0" collapsed="false">
      <c r="A15" s="16" t="s">
        <v>714</v>
      </c>
      <c r="B15" s="16" t="s">
        <v>119</v>
      </c>
      <c r="C15" s="16" t="s">
        <v>120</v>
      </c>
      <c r="D15" s="17" t="n">
        <v>11.62</v>
      </c>
      <c r="E15" s="17" t="n">
        <v>10</v>
      </c>
      <c r="F15" s="8" t="n">
        <f aca="false">IF(E15=0,0,D15/E15)</f>
        <v>1.162</v>
      </c>
    </row>
    <row r="16" customFormat="false" ht="15" hidden="false" customHeight="false" outlineLevel="0" collapsed="false">
      <c r="A16" s="16" t="s">
        <v>714</v>
      </c>
      <c r="B16" s="16" t="s">
        <v>119</v>
      </c>
      <c r="C16" s="16" t="s">
        <v>141</v>
      </c>
      <c r="D16" s="17" t="n">
        <v>8.38</v>
      </c>
      <c r="E16" s="17" t="n">
        <v>10</v>
      </c>
      <c r="F16" s="8" t="n">
        <f aca="false">IF(E16=0,0,D16/E16)</f>
        <v>0.838</v>
      </c>
    </row>
    <row r="17" customFormat="false" ht="15" hidden="false" customHeight="false" outlineLevel="0" collapsed="false">
      <c r="A17" s="16" t="s">
        <v>714</v>
      </c>
      <c r="B17" s="16" t="s">
        <v>119</v>
      </c>
      <c r="C17" s="16" t="s">
        <v>155</v>
      </c>
      <c r="D17" s="17" t="n">
        <v>9</v>
      </c>
      <c r="E17" s="17" t="n">
        <v>10</v>
      </c>
      <c r="F17" s="8" t="n">
        <f aca="false">IF(E17=0,0,D17/E17)</f>
        <v>0.9</v>
      </c>
    </row>
    <row r="18" customFormat="false" ht="15" hidden="false" customHeight="false" outlineLevel="0" collapsed="false">
      <c r="A18" s="16" t="s">
        <v>714</v>
      </c>
      <c r="B18" s="16" t="s">
        <v>119</v>
      </c>
      <c r="C18" s="16" t="s">
        <v>166</v>
      </c>
      <c r="D18" s="17" t="n">
        <v>0</v>
      </c>
      <c r="E18" s="17" t="n">
        <v>0</v>
      </c>
      <c r="F18" s="8" t="n">
        <f aca="false">IF(E18=0,0,D18/E18)</f>
        <v>0</v>
      </c>
    </row>
    <row r="19" customFormat="false" ht="15" hidden="false" customHeight="false" outlineLevel="0" collapsed="false">
      <c r="A19" s="16" t="s">
        <v>714</v>
      </c>
      <c r="B19" s="16" t="s">
        <v>119</v>
      </c>
      <c r="C19" s="16" t="s">
        <v>170</v>
      </c>
      <c r="D19" s="17" t="n">
        <v>0</v>
      </c>
      <c r="E19" s="17" t="n">
        <v>0</v>
      </c>
      <c r="F19" s="8" t="n">
        <f aca="false">IF(E19=0,0,D19/E19)</f>
        <v>0</v>
      </c>
    </row>
    <row r="20" customFormat="false" ht="15" hidden="false" customHeight="false" outlineLevel="0" collapsed="false">
      <c r="A20" s="16" t="s">
        <v>714</v>
      </c>
      <c r="B20" s="16" t="s">
        <v>119</v>
      </c>
      <c r="C20" s="16" t="s">
        <v>183</v>
      </c>
      <c r="D20" s="17" t="n">
        <v>5</v>
      </c>
      <c r="E20" s="17" t="n">
        <v>6</v>
      </c>
      <c r="F20" s="8" t="n">
        <f aca="false">IF(E20=0,0,D20/E20)</f>
        <v>0.833333333333333</v>
      </c>
    </row>
    <row r="21" customFormat="false" ht="15" hidden="false" customHeight="false" outlineLevel="0" collapsed="false">
      <c r="A21" s="16" t="s">
        <v>715</v>
      </c>
      <c r="B21" s="16" t="s">
        <v>92</v>
      </c>
      <c r="C21" s="16" t="s">
        <v>80</v>
      </c>
      <c r="D21" s="17" t="n">
        <v>9</v>
      </c>
      <c r="E21" s="17" t="n">
        <v>10</v>
      </c>
      <c r="F21" s="8" t="n">
        <f aca="false">IF(E21=0,0,D21/E21)</f>
        <v>0.9</v>
      </c>
    </row>
    <row r="22" customFormat="false" ht="15" hidden="false" customHeight="false" outlineLevel="0" collapsed="false">
      <c r="A22" s="16" t="s">
        <v>715</v>
      </c>
      <c r="B22" s="16" t="s">
        <v>92</v>
      </c>
      <c r="C22" s="16" t="s">
        <v>85</v>
      </c>
      <c r="D22" s="17" t="n">
        <v>10</v>
      </c>
      <c r="E22" s="17" t="n">
        <v>10</v>
      </c>
      <c r="F22" s="8" t="n">
        <f aca="false">IF(E22=0,0,D22/E22)</f>
        <v>1</v>
      </c>
    </row>
    <row r="23" customFormat="false" ht="15" hidden="false" customHeight="false" outlineLevel="0" collapsed="false">
      <c r="A23" s="16" t="s">
        <v>715</v>
      </c>
      <c r="B23" s="16" t="s">
        <v>92</v>
      </c>
      <c r="C23" s="16" t="s">
        <v>99</v>
      </c>
      <c r="D23" s="17" t="n">
        <v>11</v>
      </c>
      <c r="E23" s="17" t="n">
        <v>13</v>
      </c>
      <c r="F23" s="8" t="n">
        <f aca="false">IF(E23=0,0,D23/E23)</f>
        <v>0.846153846153846</v>
      </c>
    </row>
    <row r="24" customFormat="false" ht="15" hidden="false" customHeight="false" outlineLevel="0" collapsed="false">
      <c r="A24" s="16" t="s">
        <v>715</v>
      </c>
      <c r="B24" s="16" t="s">
        <v>92</v>
      </c>
      <c r="C24" s="16" t="s">
        <v>120</v>
      </c>
      <c r="D24" s="17" t="n">
        <v>8.88</v>
      </c>
      <c r="E24" s="17" t="n">
        <v>10</v>
      </c>
      <c r="F24" s="8" t="n">
        <f aca="false">IF(E24=0,0,D24/E24)</f>
        <v>0.888</v>
      </c>
    </row>
    <row r="25" customFormat="false" ht="15" hidden="false" customHeight="false" outlineLevel="0" collapsed="false">
      <c r="A25" s="16" t="s">
        <v>715</v>
      </c>
      <c r="B25" s="16" t="s">
        <v>92</v>
      </c>
      <c r="C25" s="16" t="s">
        <v>141</v>
      </c>
      <c r="D25" s="17" t="n">
        <v>8.29</v>
      </c>
      <c r="E25" s="17" t="n">
        <v>10</v>
      </c>
      <c r="F25" s="8" t="n">
        <f aca="false">IF(E25=0,0,D25/E25)</f>
        <v>0.829</v>
      </c>
    </row>
    <row r="26" customFormat="false" ht="15" hidden="false" customHeight="false" outlineLevel="0" collapsed="false">
      <c r="A26" s="16" t="s">
        <v>715</v>
      </c>
      <c r="B26" s="16" t="s">
        <v>92</v>
      </c>
      <c r="C26" s="16" t="s">
        <v>155</v>
      </c>
      <c r="D26" s="17" t="n">
        <v>4.83</v>
      </c>
      <c r="E26" s="17" t="n">
        <v>10</v>
      </c>
      <c r="F26" s="8" t="n">
        <f aca="false">IF(E26=0,0,D26/E26)</f>
        <v>0.483</v>
      </c>
    </row>
    <row r="27" customFormat="false" ht="15" hidden="false" customHeight="false" outlineLevel="0" collapsed="false">
      <c r="A27" s="16" t="s">
        <v>715</v>
      </c>
      <c r="B27" s="16" t="s">
        <v>92</v>
      </c>
      <c r="C27" s="16" t="s">
        <v>166</v>
      </c>
      <c r="D27" s="17" t="n">
        <v>0</v>
      </c>
      <c r="E27" s="17" t="n">
        <v>0</v>
      </c>
      <c r="F27" s="8" t="n">
        <f aca="false">IF(E27=0,0,D27/E27)</f>
        <v>0</v>
      </c>
    </row>
    <row r="28" customFormat="false" ht="15" hidden="false" customHeight="false" outlineLevel="0" collapsed="false">
      <c r="A28" s="16" t="s">
        <v>715</v>
      </c>
      <c r="B28" s="16" t="s">
        <v>92</v>
      </c>
      <c r="C28" s="16" t="s">
        <v>170</v>
      </c>
      <c r="D28" s="17" t="n">
        <v>2</v>
      </c>
      <c r="E28" s="17" t="n">
        <v>3</v>
      </c>
      <c r="F28" s="8" t="n">
        <f aca="false">IF(E28=0,0,D28/E28)</f>
        <v>0.666666666666667</v>
      </c>
    </row>
    <row r="29" customFormat="false" ht="15" hidden="false" customHeight="false" outlineLevel="0" collapsed="false">
      <c r="A29" s="16" t="s">
        <v>715</v>
      </c>
      <c r="B29" s="16" t="s">
        <v>92</v>
      </c>
      <c r="C29" s="16" t="s">
        <v>183</v>
      </c>
      <c r="D29" s="17" t="n">
        <v>4</v>
      </c>
      <c r="E29" s="17" t="n">
        <v>5</v>
      </c>
      <c r="F29" s="8" t="n">
        <f aca="false">IF(E29=0,0,D29/E29)</f>
        <v>0.8</v>
      </c>
    </row>
    <row r="30" customFormat="false" ht="15" hidden="false" customHeight="false" outlineLevel="0" collapsed="false">
      <c r="A30" s="16" t="s">
        <v>716</v>
      </c>
      <c r="B30" s="16" t="s">
        <v>103</v>
      </c>
      <c r="C30" s="16" t="s">
        <v>80</v>
      </c>
      <c r="D30" s="17" t="n">
        <v>5.86</v>
      </c>
      <c r="E30" s="17" t="n">
        <v>10</v>
      </c>
      <c r="F30" s="8" t="n">
        <f aca="false">IF(E30=0,0,D30/E30)</f>
        <v>0.586</v>
      </c>
    </row>
    <row r="31" customFormat="false" ht="15" hidden="false" customHeight="false" outlineLevel="0" collapsed="false">
      <c r="A31" s="16" t="s">
        <v>716</v>
      </c>
      <c r="B31" s="16" t="s">
        <v>103</v>
      </c>
      <c r="C31" s="16" t="s">
        <v>85</v>
      </c>
      <c r="D31" s="17" t="n">
        <v>9.14</v>
      </c>
      <c r="E31" s="17" t="n">
        <v>10</v>
      </c>
      <c r="F31" s="8" t="n">
        <f aca="false">IF(E31=0,0,D31/E31)</f>
        <v>0.914</v>
      </c>
    </row>
    <row r="32" customFormat="false" ht="15" hidden="false" customHeight="false" outlineLevel="0" collapsed="false">
      <c r="A32" s="16" t="s">
        <v>716</v>
      </c>
      <c r="B32" s="16" t="s">
        <v>103</v>
      </c>
      <c r="C32" s="16" t="s">
        <v>99</v>
      </c>
      <c r="D32" s="17" t="n">
        <v>12.25</v>
      </c>
      <c r="E32" s="17" t="n">
        <v>13</v>
      </c>
      <c r="F32" s="8" t="n">
        <f aca="false">IF(E32=0,0,D32/E32)</f>
        <v>0.942307692307692</v>
      </c>
    </row>
    <row r="33" customFormat="false" ht="15" hidden="false" customHeight="false" outlineLevel="0" collapsed="false">
      <c r="A33" s="16" t="s">
        <v>716</v>
      </c>
      <c r="B33" s="16" t="s">
        <v>103</v>
      </c>
      <c r="C33" s="16" t="s">
        <v>120</v>
      </c>
      <c r="D33" s="17" t="n">
        <v>9.45</v>
      </c>
      <c r="E33" s="17" t="n">
        <v>10</v>
      </c>
      <c r="F33" s="8" t="n">
        <f aca="false">IF(E33=0,0,D33/E33)</f>
        <v>0.945</v>
      </c>
    </row>
    <row r="34" customFormat="false" ht="15" hidden="false" customHeight="false" outlineLevel="0" collapsed="false">
      <c r="A34" s="16" t="s">
        <v>716</v>
      </c>
      <c r="B34" s="16" t="s">
        <v>103</v>
      </c>
      <c r="C34" s="16" t="s">
        <v>141</v>
      </c>
      <c r="D34" s="17" t="n">
        <v>9.3</v>
      </c>
      <c r="E34" s="17" t="n">
        <v>10</v>
      </c>
      <c r="F34" s="8" t="n">
        <f aca="false">IF(E34=0,0,D34/E34)</f>
        <v>0.93</v>
      </c>
    </row>
    <row r="35" customFormat="false" ht="15" hidden="false" customHeight="false" outlineLevel="0" collapsed="false">
      <c r="A35" s="16" t="s">
        <v>716</v>
      </c>
      <c r="B35" s="16" t="s">
        <v>103</v>
      </c>
      <c r="C35" s="16" t="s">
        <v>155</v>
      </c>
      <c r="D35" s="17" t="n">
        <v>9.5</v>
      </c>
      <c r="E35" s="17" t="n">
        <v>10</v>
      </c>
      <c r="F35" s="8" t="n">
        <f aca="false">IF(E35=0,0,D35/E35)</f>
        <v>0.95</v>
      </c>
    </row>
    <row r="36" customFormat="false" ht="15" hidden="false" customHeight="false" outlineLevel="0" collapsed="false">
      <c r="A36" s="16" t="s">
        <v>716</v>
      </c>
      <c r="B36" s="16" t="s">
        <v>103</v>
      </c>
      <c r="C36" s="16" t="s">
        <v>166</v>
      </c>
      <c r="D36" s="17" t="n">
        <v>2</v>
      </c>
      <c r="E36" s="17" t="n">
        <v>3</v>
      </c>
      <c r="F36" s="8" t="n">
        <f aca="false">IF(E36=0,0,D36/E36)</f>
        <v>0.666666666666667</v>
      </c>
    </row>
    <row r="37" customFormat="false" ht="15" hidden="false" customHeight="false" outlineLevel="0" collapsed="false">
      <c r="A37" s="16" t="s">
        <v>716</v>
      </c>
      <c r="B37" s="16" t="s">
        <v>103</v>
      </c>
      <c r="C37" s="16" t="s">
        <v>170</v>
      </c>
      <c r="D37" s="17" t="n">
        <v>0</v>
      </c>
      <c r="E37" s="17" t="n">
        <v>0</v>
      </c>
      <c r="F37" s="8" t="n">
        <f aca="false">IF(E37=0,0,D37/E37)</f>
        <v>0</v>
      </c>
    </row>
    <row r="38" customFormat="false" ht="15" hidden="false" customHeight="false" outlineLevel="0" collapsed="false">
      <c r="A38" s="16" t="s">
        <v>716</v>
      </c>
      <c r="B38" s="16" t="s">
        <v>103</v>
      </c>
      <c r="C38" s="16" t="s">
        <v>183</v>
      </c>
      <c r="D38" s="17" t="n">
        <v>9</v>
      </c>
      <c r="E38" s="17" t="n">
        <v>10</v>
      </c>
      <c r="F38" s="8" t="n">
        <f aca="false">IF(E38=0,0,D38/E38)</f>
        <v>0.9</v>
      </c>
    </row>
    <row r="39" customFormat="false" ht="15" hidden="false" customHeight="false" outlineLevel="0" collapsed="false">
      <c r="A39" s="16" t="s">
        <v>717</v>
      </c>
      <c r="B39" s="16" t="s">
        <v>98</v>
      </c>
      <c r="C39" s="16" t="s">
        <v>80</v>
      </c>
      <c r="D39" s="17" t="n">
        <v>10</v>
      </c>
      <c r="E39" s="17" t="n">
        <v>10</v>
      </c>
      <c r="F39" s="8" t="n">
        <f aca="false">IF(E39=0,0,D39/E39)</f>
        <v>1</v>
      </c>
    </row>
    <row r="40" customFormat="false" ht="15" hidden="false" customHeight="false" outlineLevel="0" collapsed="false">
      <c r="A40" s="16" t="s">
        <v>717</v>
      </c>
      <c r="B40" s="16" t="s">
        <v>98</v>
      </c>
      <c r="C40" s="16" t="s">
        <v>85</v>
      </c>
      <c r="D40" s="17" t="n">
        <v>10</v>
      </c>
      <c r="E40" s="17" t="n">
        <v>10</v>
      </c>
      <c r="F40" s="8" t="n">
        <f aca="false">IF(E40=0,0,D40/E40)</f>
        <v>1</v>
      </c>
    </row>
    <row r="41" customFormat="false" ht="15" hidden="false" customHeight="false" outlineLevel="0" collapsed="false">
      <c r="A41" s="16" t="s">
        <v>717</v>
      </c>
      <c r="B41" s="16" t="s">
        <v>98</v>
      </c>
      <c r="C41" s="16" t="s">
        <v>99</v>
      </c>
      <c r="D41" s="17" t="n">
        <v>11</v>
      </c>
      <c r="E41" s="17" t="n">
        <v>13</v>
      </c>
      <c r="F41" s="8" t="n">
        <f aca="false">IF(E41=0,0,D41/E41)</f>
        <v>0.846153846153846</v>
      </c>
    </row>
    <row r="42" customFormat="false" ht="15" hidden="false" customHeight="false" outlineLevel="0" collapsed="false">
      <c r="A42" s="16" t="s">
        <v>717</v>
      </c>
      <c r="B42" s="16" t="s">
        <v>98</v>
      </c>
      <c r="C42" s="16" t="s">
        <v>120</v>
      </c>
      <c r="D42" s="17" t="n">
        <v>7.96</v>
      </c>
      <c r="E42" s="17" t="n">
        <v>10</v>
      </c>
      <c r="F42" s="8" t="n">
        <f aca="false">IF(E42=0,0,D42/E42)</f>
        <v>0.796</v>
      </c>
    </row>
    <row r="43" customFormat="false" ht="15" hidden="false" customHeight="false" outlineLevel="0" collapsed="false">
      <c r="A43" s="16" t="s">
        <v>717</v>
      </c>
      <c r="B43" s="16" t="s">
        <v>98</v>
      </c>
      <c r="C43" s="16" t="s">
        <v>141</v>
      </c>
      <c r="D43" s="17" t="n">
        <v>8.04</v>
      </c>
      <c r="E43" s="17" t="n">
        <v>10</v>
      </c>
      <c r="F43" s="8" t="n">
        <f aca="false">IF(E43=0,0,D43/E43)</f>
        <v>0.804</v>
      </c>
    </row>
    <row r="44" customFormat="false" ht="15" hidden="false" customHeight="false" outlineLevel="0" collapsed="false">
      <c r="A44" s="16" t="s">
        <v>717</v>
      </c>
      <c r="B44" s="16" t="s">
        <v>98</v>
      </c>
      <c r="C44" s="16" t="s">
        <v>155</v>
      </c>
      <c r="D44" s="17" t="n">
        <v>9.5</v>
      </c>
      <c r="E44" s="17" t="n">
        <v>10</v>
      </c>
      <c r="F44" s="8" t="n">
        <f aca="false">IF(E44=0,0,D44/E44)</f>
        <v>0.95</v>
      </c>
    </row>
    <row r="45" customFormat="false" ht="15" hidden="false" customHeight="false" outlineLevel="0" collapsed="false">
      <c r="A45" s="16" t="s">
        <v>717</v>
      </c>
      <c r="B45" s="16" t="s">
        <v>98</v>
      </c>
      <c r="C45" s="16" t="s">
        <v>166</v>
      </c>
      <c r="D45" s="17" t="n">
        <v>7</v>
      </c>
      <c r="E45" s="17" t="n">
        <v>8</v>
      </c>
      <c r="F45" s="8" t="n">
        <f aca="false">IF(E45=0,0,D45/E45)</f>
        <v>0.875</v>
      </c>
    </row>
    <row r="46" customFormat="false" ht="15" hidden="false" customHeight="false" outlineLevel="0" collapsed="false">
      <c r="A46" s="16" t="s">
        <v>717</v>
      </c>
      <c r="B46" s="16" t="s">
        <v>98</v>
      </c>
      <c r="C46" s="16" t="s">
        <v>170</v>
      </c>
      <c r="D46" s="17" t="n">
        <v>3.5</v>
      </c>
      <c r="E46" s="17" t="n">
        <v>5</v>
      </c>
      <c r="F46" s="8" t="n">
        <f aca="false">IF(E46=0,0,D46/E46)</f>
        <v>0.7</v>
      </c>
    </row>
    <row r="47" customFormat="false" ht="15" hidden="false" customHeight="false" outlineLevel="0" collapsed="false">
      <c r="A47" s="16" t="s">
        <v>717</v>
      </c>
      <c r="B47" s="16" t="s">
        <v>98</v>
      </c>
      <c r="C47" s="16" t="s">
        <v>183</v>
      </c>
      <c r="D47" s="17" t="n">
        <v>5.5</v>
      </c>
      <c r="E47" s="17" t="n">
        <v>7</v>
      </c>
      <c r="F47" s="8" t="n">
        <f aca="false">IF(E47=0,0,D47/E47)</f>
        <v>0.785714285714286</v>
      </c>
    </row>
    <row r="48" customFormat="false" ht="15" hidden="false" customHeight="false" outlineLevel="0" collapsed="false">
      <c r="A48" s="16" t="s">
        <v>718</v>
      </c>
      <c r="B48" s="16" t="s">
        <v>84</v>
      </c>
      <c r="C48" s="16" t="s">
        <v>80</v>
      </c>
      <c r="D48" s="17" t="n">
        <v>9.67</v>
      </c>
      <c r="E48" s="17" t="n">
        <v>10</v>
      </c>
      <c r="F48" s="8" t="n">
        <f aca="false">IF(E48=0,0,D48/E48)</f>
        <v>0.967</v>
      </c>
    </row>
    <row r="49" customFormat="false" ht="15" hidden="false" customHeight="false" outlineLevel="0" collapsed="false">
      <c r="A49" s="16" t="s">
        <v>718</v>
      </c>
      <c r="B49" s="16" t="s">
        <v>84</v>
      </c>
      <c r="C49" s="16" t="s">
        <v>85</v>
      </c>
      <c r="D49" s="17" t="n">
        <v>9</v>
      </c>
      <c r="E49" s="17" t="n">
        <v>10</v>
      </c>
      <c r="F49" s="8" t="n">
        <f aca="false">IF(E49=0,0,D49/E49)</f>
        <v>0.9</v>
      </c>
    </row>
    <row r="50" customFormat="false" ht="15" hidden="false" customHeight="false" outlineLevel="0" collapsed="false">
      <c r="A50" s="16" t="s">
        <v>718</v>
      </c>
      <c r="B50" s="16" t="s">
        <v>84</v>
      </c>
      <c r="C50" s="16" t="s">
        <v>99</v>
      </c>
      <c r="D50" s="17" t="n">
        <v>12</v>
      </c>
      <c r="E50" s="17" t="n">
        <v>13</v>
      </c>
      <c r="F50" s="8" t="n">
        <f aca="false">IF(E50=0,0,D50/E50)</f>
        <v>0.923076923076923</v>
      </c>
    </row>
    <row r="51" customFormat="false" ht="15" hidden="false" customHeight="false" outlineLevel="0" collapsed="false">
      <c r="A51" s="16" t="s">
        <v>718</v>
      </c>
      <c r="B51" s="16" t="s">
        <v>84</v>
      </c>
      <c r="C51" s="16" t="s">
        <v>120</v>
      </c>
      <c r="D51" s="17" t="n">
        <v>9.5</v>
      </c>
      <c r="E51" s="17" t="n">
        <v>10</v>
      </c>
      <c r="F51" s="8" t="n">
        <f aca="false">IF(E51=0,0,D51/E51)</f>
        <v>0.95</v>
      </c>
    </row>
    <row r="52" customFormat="false" ht="15" hidden="false" customHeight="false" outlineLevel="0" collapsed="false">
      <c r="A52" s="16" t="s">
        <v>718</v>
      </c>
      <c r="B52" s="16" t="s">
        <v>84</v>
      </c>
      <c r="C52" s="16" t="s">
        <v>141</v>
      </c>
      <c r="D52" s="17" t="n">
        <v>7</v>
      </c>
      <c r="E52" s="17" t="n">
        <v>10</v>
      </c>
      <c r="F52" s="8" t="n">
        <f aca="false">IF(E52=0,0,D52/E52)</f>
        <v>0.7</v>
      </c>
    </row>
    <row r="53" customFormat="false" ht="15" hidden="false" customHeight="false" outlineLevel="0" collapsed="false">
      <c r="A53" s="16" t="s">
        <v>718</v>
      </c>
      <c r="B53" s="16" t="s">
        <v>84</v>
      </c>
      <c r="C53" s="16" t="s">
        <v>155</v>
      </c>
      <c r="D53" s="17" t="n">
        <v>9.5</v>
      </c>
      <c r="E53" s="17" t="n">
        <v>10</v>
      </c>
      <c r="F53" s="8" t="n">
        <f aca="false">IF(E53=0,0,D53/E53)</f>
        <v>0.95</v>
      </c>
    </row>
    <row r="54" customFormat="false" ht="15" hidden="false" customHeight="false" outlineLevel="0" collapsed="false">
      <c r="A54" s="16" t="s">
        <v>718</v>
      </c>
      <c r="B54" s="16" t="s">
        <v>84</v>
      </c>
      <c r="C54" s="16" t="s">
        <v>166</v>
      </c>
      <c r="D54" s="17" t="n">
        <v>0</v>
      </c>
      <c r="E54" s="17" t="n">
        <v>0</v>
      </c>
      <c r="F54" s="8" t="n">
        <f aca="false">IF(E54=0,0,D54/E54)</f>
        <v>0</v>
      </c>
    </row>
    <row r="55" customFormat="false" ht="15" hidden="false" customHeight="false" outlineLevel="0" collapsed="false">
      <c r="A55" s="16" t="s">
        <v>718</v>
      </c>
      <c r="B55" s="16" t="s">
        <v>84</v>
      </c>
      <c r="C55" s="16" t="s">
        <v>170</v>
      </c>
      <c r="D55" s="17" t="n">
        <v>7.5</v>
      </c>
      <c r="E55" s="17" t="n">
        <v>9</v>
      </c>
      <c r="F55" s="8" t="n">
        <f aca="false">IF(E55=0,0,D55/E55)</f>
        <v>0.833333333333333</v>
      </c>
    </row>
    <row r="56" customFormat="false" ht="15" hidden="false" customHeight="false" outlineLevel="0" collapsed="false">
      <c r="A56" s="16" t="s">
        <v>718</v>
      </c>
      <c r="B56" s="16" t="s">
        <v>84</v>
      </c>
      <c r="C56" s="16" t="s">
        <v>183</v>
      </c>
      <c r="D56" s="17" t="n">
        <v>6.5</v>
      </c>
      <c r="E56" s="17" t="n">
        <v>8</v>
      </c>
      <c r="F56" s="8" t="n">
        <f aca="false">IF(E56=0,0,D56/E56)</f>
        <v>0.8125</v>
      </c>
    </row>
    <row r="57" customFormat="false" ht="15" hidden="false" customHeight="false" outlineLevel="0" collapsed="false">
      <c r="A57" s="16" t="s">
        <v>719</v>
      </c>
      <c r="B57" s="16" t="s">
        <v>137</v>
      </c>
      <c r="C57" s="16" t="s">
        <v>80</v>
      </c>
      <c r="D57" s="17" t="n">
        <v>4</v>
      </c>
      <c r="E57" s="17" t="n">
        <v>10</v>
      </c>
      <c r="F57" s="8" t="n">
        <f aca="false">IF(E57=0,0,D57/E57)</f>
        <v>0.4</v>
      </c>
    </row>
    <row r="58" customFormat="false" ht="15" hidden="false" customHeight="false" outlineLevel="0" collapsed="false">
      <c r="A58" s="16" t="s">
        <v>719</v>
      </c>
      <c r="B58" s="16" t="s">
        <v>137</v>
      </c>
      <c r="C58" s="16" t="s">
        <v>85</v>
      </c>
      <c r="D58" s="17" t="n">
        <v>9</v>
      </c>
      <c r="E58" s="17" t="n">
        <v>10</v>
      </c>
      <c r="F58" s="8" t="n">
        <f aca="false">IF(E58=0,0,D58/E58)</f>
        <v>0.9</v>
      </c>
    </row>
    <row r="59" customFormat="false" ht="15" hidden="false" customHeight="false" outlineLevel="0" collapsed="false">
      <c r="A59" s="16" t="s">
        <v>719</v>
      </c>
      <c r="B59" s="16" t="s">
        <v>137</v>
      </c>
      <c r="C59" s="16" t="s">
        <v>99</v>
      </c>
      <c r="D59" s="17" t="n">
        <v>9</v>
      </c>
      <c r="E59" s="17" t="n">
        <v>13</v>
      </c>
      <c r="F59" s="8" t="n">
        <f aca="false">IF(E59=0,0,D59/E59)</f>
        <v>0.692307692307692</v>
      </c>
    </row>
    <row r="60" customFormat="false" ht="15" hidden="false" customHeight="false" outlineLevel="0" collapsed="false">
      <c r="A60" s="16" t="s">
        <v>719</v>
      </c>
      <c r="B60" s="16" t="s">
        <v>137</v>
      </c>
      <c r="C60" s="16" t="s">
        <v>120</v>
      </c>
      <c r="D60" s="17" t="n">
        <v>8.35</v>
      </c>
      <c r="E60" s="17" t="n">
        <v>10</v>
      </c>
      <c r="F60" s="8" t="n">
        <f aca="false">IF(E60=0,0,D60/E60)</f>
        <v>0.835</v>
      </c>
    </row>
    <row r="61" customFormat="false" ht="15" hidden="false" customHeight="false" outlineLevel="0" collapsed="false">
      <c r="A61" s="16" t="s">
        <v>719</v>
      </c>
      <c r="B61" s="16" t="s">
        <v>137</v>
      </c>
      <c r="C61" s="16" t="s">
        <v>141</v>
      </c>
      <c r="D61" s="17" t="n">
        <v>7.15</v>
      </c>
      <c r="E61" s="17" t="n">
        <v>10</v>
      </c>
      <c r="F61" s="8" t="n">
        <f aca="false">IF(E61=0,0,D61/E61)</f>
        <v>0.715</v>
      </c>
    </row>
    <row r="62" customFormat="false" ht="15" hidden="false" customHeight="false" outlineLevel="0" collapsed="false">
      <c r="A62" s="16" t="s">
        <v>719</v>
      </c>
      <c r="B62" s="16" t="s">
        <v>137</v>
      </c>
      <c r="C62" s="16" t="s">
        <v>155</v>
      </c>
      <c r="D62" s="17" t="n">
        <v>10</v>
      </c>
      <c r="E62" s="17" t="n">
        <v>10</v>
      </c>
      <c r="F62" s="8" t="n">
        <f aca="false">IF(E62=0,0,D62/E62)</f>
        <v>1</v>
      </c>
    </row>
    <row r="63" customFormat="false" ht="15" hidden="false" customHeight="false" outlineLevel="0" collapsed="false">
      <c r="A63" s="16" t="s">
        <v>719</v>
      </c>
      <c r="B63" s="16" t="s">
        <v>137</v>
      </c>
      <c r="C63" s="16" t="s">
        <v>166</v>
      </c>
      <c r="D63" s="17" t="n">
        <v>10</v>
      </c>
      <c r="E63" s="17" t="n">
        <v>10</v>
      </c>
      <c r="F63" s="8" t="n">
        <f aca="false">IF(E63=0,0,D63/E63)</f>
        <v>1</v>
      </c>
    </row>
    <row r="64" customFormat="false" ht="15" hidden="false" customHeight="false" outlineLevel="0" collapsed="false">
      <c r="A64" s="16" t="s">
        <v>719</v>
      </c>
      <c r="B64" s="16" t="s">
        <v>137</v>
      </c>
      <c r="C64" s="16" t="s">
        <v>170</v>
      </c>
      <c r="D64" s="17" t="n">
        <v>2</v>
      </c>
      <c r="E64" s="17" t="n">
        <v>3</v>
      </c>
      <c r="F64" s="8" t="n">
        <f aca="false">IF(E64=0,0,D64/E64)</f>
        <v>0.666666666666667</v>
      </c>
    </row>
    <row r="65" customFormat="false" ht="15" hidden="false" customHeight="false" outlineLevel="0" collapsed="false">
      <c r="A65" s="16" t="s">
        <v>719</v>
      </c>
      <c r="B65" s="16" t="s">
        <v>137</v>
      </c>
      <c r="C65" s="16" t="s">
        <v>183</v>
      </c>
      <c r="D65" s="17" t="n">
        <v>8</v>
      </c>
      <c r="E65" s="17" t="n">
        <v>9</v>
      </c>
      <c r="F65" s="8" t="n">
        <f aca="false">IF(E65=0,0,D65/E65)</f>
        <v>0.888888888888889</v>
      </c>
    </row>
    <row r="66" customFormat="false" ht="15" hidden="false" customHeight="false" outlineLevel="0" collapsed="false">
      <c r="A66" s="16" t="s">
        <v>720</v>
      </c>
      <c r="B66" s="16" t="s">
        <v>165</v>
      </c>
      <c r="C66" s="16" t="s">
        <v>80</v>
      </c>
      <c r="D66" s="17" t="n">
        <v>0</v>
      </c>
      <c r="E66" s="17" t="n">
        <v>0</v>
      </c>
      <c r="F66" s="8" t="n">
        <f aca="false">IF(E66=0,0,D66/E66)</f>
        <v>0</v>
      </c>
    </row>
    <row r="67" customFormat="false" ht="15" hidden="false" customHeight="false" outlineLevel="0" collapsed="false">
      <c r="A67" s="16" t="s">
        <v>720</v>
      </c>
      <c r="B67" s="16" t="s">
        <v>165</v>
      </c>
      <c r="C67" s="16" t="s">
        <v>85</v>
      </c>
      <c r="D67" s="17" t="n">
        <v>4</v>
      </c>
      <c r="E67" s="17" t="n">
        <v>10</v>
      </c>
      <c r="F67" s="8" t="n">
        <f aca="false">IF(E67=0,0,D67/E67)</f>
        <v>0.4</v>
      </c>
    </row>
    <row r="68" customFormat="false" ht="15" hidden="false" customHeight="false" outlineLevel="0" collapsed="false">
      <c r="A68" s="16" t="s">
        <v>720</v>
      </c>
      <c r="B68" s="16" t="s">
        <v>165</v>
      </c>
      <c r="C68" s="16" t="s">
        <v>99</v>
      </c>
      <c r="D68" s="17" t="n">
        <v>13.83</v>
      </c>
      <c r="E68" s="17" t="n">
        <v>13</v>
      </c>
      <c r="F68" s="8" t="n">
        <f aca="false">IF(E68=0,0,D68/E68)</f>
        <v>1.06384615384615</v>
      </c>
    </row>
    <row r="69" customFormat="false" ht="15" hidden="false" customHeight="false" outlineLevel="0" collapsed="false">
      <c r="A69" s="16" t="s">
        <v>720</v>
      </c>
      <c r="B69" s="16" t="s">
        <v>165</v>
      </c>
      <c r="C69" s="16" t="s">
        <v>120</v>
      </c>
      <c r="D69" s="17" t="n">
        <v>10.27</v>
      </c>
      <c r="E69" s="17" t="n">
        <v>10</v>
      </c>
      <c r="F69" s="8" t="n">
        <f aca="false">IF(E69=0,0,D69/E69)</f>
        <v>1.027</v>
      </c>
    </row>
    <row r="70" customFormat="false" ht="15" hidden="false" customHeight="false" outlineLevel="0" collapsed="false">
      <c r="A70" s="16" t="s">
        <v>720</v>
      </c>
      <c r="B70" s="16" t="s">
        <v>165</v>
      </c>
      <c r="C70" s="16" t="s">
        <v>141</v>
      </c>
      <c r="D70" s="17" t="n">
        <v>7.9</v>
      </c>
      <c r="E70" s="17" t="n">
        <v>10</v>
      </c>
      <c r="F70" s="8" t="n">
        <f aca="false">IF(E70=0,0,D70/E70)</f>
        <v>0.79</v>
      </c>
    </row>
    <row r="71" customFormat="false" ht="15" hidden="false" customHeight="false" outlineLevel="0" collapsed="false">
      <c r="A71" s="16" t="s">
        <v>720</v>
      </c>
      <c r="B71" s="16" t="s">
        <v>165</v>
      </c>
      <c r="C71" s="16" t="s">
        <v>155</v>
      </c>
      <c r="D71" s="17" t="n">
        <v>6</v>
      </c>
      <c r="E71" s="17" t="n">
        <v>10</v>
      </c>
      <c r="F71" s="8" t="n">
        <f aca="false">IF(E71=0,0,D71/E71)</f>
        <v>0.6</v>
      </c>
    </row>
    <row r="72" customFormat="false" ht="15" hidden="false" customHeight="false" outlineLevel="0" collapsed="false">
      <c r="A72" s="16" t="s">
        <v>720</v>
      </c>
      <c r="B72" s="16" t="s">
        <v>165</v>
      </c>
      <c r="C72" s="16" t="s">
        <v>166</v>
      </c>
      <c r="D72" s="17" t="n">
        <v>9</v>
      </c>
      <c r="E72" s="17" t="n">
        <v>10</v>
      </c>
      <c r="F72" s="8" t="n">
        <f aca="false">IF(E72=0,0,D72/E72)</f>
        <v>0.9</v>
      </c>
    </row>
    <row r="73" customFormat="false" ht="15" hidden="false" customHeight="false" outlineLevel="0" collapsed="false">
      <c r="A73" s="16" t="s">
        <v>720</v>
      </c>
      <c r="B73" s="16" t="s">
        <v>165</v>
      </c>
      <c r="C73" s="16" t="s">
        <v>170</v>
      </c>
      <c r="D73" s="17" t="n">
        <v>3</v>
      </c>
      <c r="E73" s="17" t="n">
        <v>4</v>
      </c>
      <c r="F73" s="8" t="n">
        <f aca="false">IF(E73=0,0,D73/E73)</f>
        <v>0.75</v>
      </c>
    </row>
    <row r="74" customFormat="false" ht="15" hidden="false" customHeight="false" outlineLevel="0" collapsed="false">
      <c r="A74" s="16" t="s">
        <v>720</v>
      </c>
      <c r="B74" s="16" t="s">
        <v>165</v>
      </c>
      <c r="C74" s="16" t="s">
        <v>183</v>
      </c>
      <c r="D74" s="17" t="n">
        <v>10</v>
      </c>
      <c r="E74" s="17" t="n">
        <v>10</v>
      </c>
      <c r="F74" s="8" t="n">
        <f aca="false">IF(E74=0,0,D74/E74)</f>
        <v>1</v>
      </c>
    </row>
    <row r="75" customFormat="false" ht="15" hidden="false" customHeight="false" outlineLevel="0" collapsed="false">
      <c r="A75" s="16" t="s">
        <v>721</v>
      </c>
      <c r="B75" s="16" t="s">
        <v>249</v>
      </c>
      <c r="C75" s="16" t="s">
        <v>80</v>
      </c>
      <c r="D75" s="17" t="n">
        <v>3</v>
      </c>
      <c r="E75" s="17" t="n">
        <v>10</v>
      </c>
      <c r="F75" s="8" t="n">
        <f aca="false">IF(E75=0,0,D75/E75)</f>
        <v>0.3</v>
      </c>
    </row>
    <row r="76" customFormat="false" ht="15" hidden="false" customHeight="false" outlineLevel="0" collapsed="false">
      <c r="A76" s="16" t="s">
        <v>721</v>
      </c>
      <c r="B76" s="16" t="s">
        <v>249</v>
      </c>
      <c r="C76" s="16" t="s">
        <v>85</v>
      </c>
      <c r="D76" s="17" t="n">
        <v>3.83</v>
      </c>
      <c r="E76" s="17" t="n">
        <v>10</v>
      </c>
      <c r="F76" s="8" t="n">
        <f aca="false">IF(E76=0,0,D76/E76)</f>
        <v>0.383</v>
      </c>
    </row>
    <row r="77" customFormat="false" ht="15" hidden="false" customHeight="false" outlineLevel="0" collapsed="false">
      <c r="A77" s="16" t="s">
        <v>721</v>
      </c>
      <c r="B77" s="16" t="s">
        <v>249</v>
      </c>
      <c r="C77" s="16" t="s">
        <v>99</v>
      </c>
      <c r="D77" s="17" t="n">
        <v>12.17</v>
      </c>
      <c r="E77" s="17" t="n">
        <v>13</v>
      </c>
      <c r="F77" s="8" t="n">
        <f aca="false">IF(E77=0,0,D77/E77)</f>
        <v>0.936153846153846</v>
      </c>
    </row>
    <row r="78" customFormat="false" ht="15" hidden="false" customHeight="false" outlineLevel="0" collapsed="false">
      <c r="A78" s="16" t="s">
        <v>721</v>
      </c>
      <c r="B78" s="16" t="s">
        <v>249</v>
      </c>
      <c r="C78" s="16" t="s">
        <v>120</v>
      </c>
      <c r="D78" s="17" t="n">
        <v>8.25</v>
      </c>
      <c r="E78" s="17" t="n">
        <v>10</v>
      </c>
      <c r="F78" s="8" t="n">
        <f aca="false">IF(E78=0,0,D78/E78)</f>
        <v>0.825</v>
      </c>
    </row>
    <row r="79" customFormat="false" ht="15" hidden="false" customHeight="false" outlineLevel="0" collapsed="false">
      <c r="A79" s="16" t="s">
        <v>721</v>
      </c>
      <c r="B79" s="16" t="s">
        <v>249</v>
      </c>
      <c r="C79" s="16" t="s">
        <v>141</v>
      </c>
      <c r="D79" s="17" t="n">
        <v>6.25</v>
      </c>
      <c r="E79" s="17" t="n">
        <v>10</v>
      </c>
      <c r="F79" s="8" t="n">
        <f aca="false">IF(E79=0,0,D79/E79)</f>
        <v>0.625</v>
      </c>
    </row>
    <row r="80" customFormat="false" ht="15" hidden="false" customHeight="false" outlineLevel="0" collapsed="false">
      <c r="A80" s="16" t="s">
        <v>721</v>
      </c>
      <c r="B80" s="16" t="s">
        <v>249</v>
      </c>
      <c r="C80" s="16" t="s">
        <v>155</v>
      </c>
      <c r="D80" s="17" t="n">
        <v>7</v>
      </c>
      <c r="E80" s="17" t="n">
        <v>10</v>
      </c>
      <c r="F80" s="8" t="n">
        <f aca="false">IF(E80=0,0,D80/E80)</f>
        <v>0.7</v>
      </c>
    </row>
    <row r="81" customFormat="false" ht="15" hidden="false" customHeight="false" outlineLevel="0" collapsed="false">
      <c r="A81" s="16" t="s">
        <v>721</v>
      </c>
      <c r="B81" s="16" t="s">
        <v>249</v>
      </c>
      <c r="C81" s="16" t="s">
        <v>166</v>
      </c>
      <c r="D81" s="17" t="n">
        <v>9</v>
      </c>
      <c r="E81" s="17" t="n">
        <v>10</v>
      </c>
      <c r="F81" s="8" t="n">
        <f aca="false">IF(E81=0,0,D81/E81)</f>
        <v>0.9</v>
      </c>
    </row>
    <row r="82" customFormat="false" ht="15" hidden="false" customHeight="false" outlineLevel="0" collapsed="false">
      <c r="A82" s="16" t="s">
        <v>721</v>
      </c>
      <c r="B82" s="16" t="s">
        <v>249</v>
      </c>
      <c r="C82" s="16" t="s">
        <v>170</v>
      </c>
      <c r="D82" s="17" t="n">
        <v>6.5</v>
      </c>
      <c r="E82" s="17" t="n">
        <v>8</v>
      </c>
      <c r="F82" s="8" t="n">
        <f aca="false">IF(E82=0,0,D82/E82)</f>
        <v>0.8125</v>
      </c>
    </row>
    <row r="83" customFormat="false" ht="15" hidden="false" customHeight="false" outlineLevel="0" collapsed="false">
      <c r="A83" s="16" t="s">
        <v>721</v>
      </c>
      <c r="B83" s="16" t="s">
        <v>249</v>
      </c>
      <c r="C83" s="16" t="s">
        <v>183</v>
      </c>
      <c r="D83" s="17" t="n">
        <v>3.5</v>
      </c>
      <c r="E83" s="17" t="n">
        <v>5</v>
      </c>
      <c r="F83" s="8" t="n">
        <f aca="false">IF(E83=0,0,D83/E83)</f>
        <v>0.7</v>
      </c>
    </row>
    <row r="84" customFormat="false" ht="15" hidden="false" customHeight="false" outlineLevel="0" collapsed="false">
      <c r="A84" s="16" t="s">
        <v>722</v>
      </c>
      <c r="B84" s="16" t="s">
        <v>187</v>
      </c>
      <c r="C84" s="16" t="s">
        <v>80</v>
      </c>
      <c r="D84" s="17" t="n">
        <v>0</v>
      </c>
      <c r="E84" s="17" t="n">
        <v>0</v>
      </c>
      <c r="F84" s="8" t="n">
        <f aca="false">IF(E84=0,0,D84/E84)</f>
        <v>0</v>
      </c>
    </row>
    <row r="85" customFormat="false" ht="15" hidden="false" customHeight="false" outlineLevel="0" collapsed="false">
      <c r="A85" s="16" t="s">
        <v>722</v>
      </c>
      <c r="B85" s="16" t="s">
        <v>187</v>
      </c>
      <c r="C85" s="16" t="s">
        <v>85</v>
      </c>
      <c r="D85" s="17" t="n">
        <v>3</v>
      </c>
      <c r="E85" s="17" t="n">
        <v>10</v>
      </c>
      <c r="F85" s="8" t="n">
        <f aca="false">IF(E85=0,0,D85/E85)</f>
        <v>0.3</v>
      </c>
    </row>
    <row r="86" customFormat="false" ht="15" hidden="false" customHeight="false" outlineLevel="0" collapsed="false">
      <c r="A86" s="16" t="s">
        <v>722</v>
      </c>
      <c r="B86" s="16" t="s">
        <v>187</v>
      </c>
      <c r="C86" s="16" t="s">
        <v>99</v>
      </c>
      <c r="D86" s="17" t="n">
        <v>8.75</v>
      </c>
      <c r="E86" s="17" t="n">
        <v>13</v>
      </c>
      <c r="F86" s="8" t="n">
        <f aca="false">IF(E86=0,0,D86/E86)</f>
        <v>0.673076923076923</v>
      </c>
    </row>
    <row r="87" customFormat="false" ht="15" hidden="false" customHeight="false" outlineLevel="0" collapsed="false">
      <c r="A87" s="16" t="s">
        <v>722</v>
      </c>
      <c r="B87" s="16" t="s">
        <v>187</v>
      </c>
      <c r="C87" s="16" t="s">
        <v>120</v>
      </c>
      <c r="D87" s="17" t="n">
        <v>11.16</v>
      </c>
      <c r="E87" s="17" t="n">
        <v>10</v>
      </c>
      <c r="F87" s="8" t="n">
        <f aca="false">IF(E87=0,0,D87/E87)</f>
        <v>1.116</v>
      </c>
    </row>
    <row r="88" customFormat="false" ht="15" hidden="false" customHeight="false" outlineLevel="0" collapsed="false">
      <c r="A88" s="16" t="s">
        <v>722</v>
      </c>
      <c r="B88" s="16" t="s">
        <v>187</v>
      </c>
      <c r="C88" s="16" t="s">
        <v>141</v>
      </c>
      <c r="D88" s="17" t="n">
        <v>9.09</v>
      </c>
      <c r="E88" s="17" t="n">
        <v>10</v>
      </c>
      <c r="F88" s="8" t="n">
        <f aca="false">IF(E88=0,0,D88/E88)</f>
        <v>0.909</v>
      </c>
    </row>
    <row r="89" customFormat="false" ht="15" hidden="false" customHeight="false" outlineLevel="0" collapsed="false">
      <c r="A89" s="16" t="s">
        <v>722</v>
      </c>
      <c r="B89" s="16" t="s">
        <v>187</v>
      </c>
      <c r="C89" s="16" t="s">
        <v>155</v>
      </c>
      <c r="D89" s="17" t="n">
        <v>4</v>
      </c>
      <c r="E89" s="17" t="n">
        <v>10</v>
      </c>
      <c r="F89" s="8" t="n">
        <f aca="false">IF(E89=0,0,D89/E89)</f>
        <v>0.4</v>
      </c>
    </row>
    <row r="90" customFormat="false" ht="15" hidden="false" customHeight="false" outlineLevel="0" collapsed="false">
      <c r="A90" s="16" t="s">
        <v>722</v>
      </c>
      <c r="B90" s="16" t="s">
        <v>187</v>
      </c>
      <c r="C90" s="16" t="s">
        <v>166</v>
      </c>
      <c r="D90" s="17" t="n">
        <v>7</v>
      </c>
      <c r="E90" s="17" t="n">
        <v>8</v>
      </c>
      <c r="F90" s="8" t="n">
        <f aca="false">IF(E90=0,0,D90/E90)</f>
        <v>0.875</v>
      </c>
    </row>
    <row r="91" customFormat="false" ht="15" hidden="false" customHeight="false" outlineLevel="0" collapsed="false">
      <c r="A91" s="16" t="s">
        <v>722</v>
      </c>
      <c r="B91" s="16" t="s">
        <v>187</v>
      </c>
      <c r="C91" s="16" t="s">
        <v>170</v>
      </c>
      <c r="D91" s="17" t="n">
        <v>1</v>
      </c>
      <c r="E91" s="17" t="n">
        <v>2</v>
      </c>
      <c r="F91" s="8" t="n">
        <f aca="false">IF(E91=0,0,D91/E91)</f>
        <v>0.5</v>
      </c>
    </row>
    <row r="92" customFormat="false" ht="15" hidden="false" customHeight="false" outlineLevel="0" collapsed="false">
      <c r="A92" s="16" t="s">
        <v>722</v>
      </c>
      <c r="B92" s="16" t="s">
        <v>187</v>
      </c>
      <c r="C92" s="16" t="s">
        <v>183</v>
      </c>
      <c r="D92" s="17" t="n">
        <v>5.5</v>
      </c>
      <c r="E92" s="17" t="n">
        <v>7</v>
      </c>
      <c r="F92" s="8" t="n">
        <f aca="false">IF(E92=0,0,D92/E92)</f>
        <v>0.785714285714286</v>
      </c>
    </row>
    <row r="93" customFormat="false" ht="15" hidden="false" customHeight="false" outlineLevel="0" collapsed="false">
      <c r="A93" s="16" t="s">
        <v>723</v>
      </c>
      <c r="B93" s="16" t="s">
        <v>178</v>
      </c>
      <c r="C93" s="16" t="s">
        <v>80</v>
      </c>
      <c r="D93" s="17" t="n">
        <v>0</v>
      </c>
      <c r="E93" s="17" t="n">
        <v>0</v>
      </c>
      <c r="F93" s="8" t="n">
        <f aca="false">IF(E93=0,0,D93/E93)</f>
        <v>0</v>
      </c>
    </row>
    <row r="94" customFormat="false" ht="15" hidden="false" customHeight="false" outlineLevel="0" collapsed="false">
      <c r="A94" s="16" t="s">
        <v>723</v>
      </c>
      <c r="B94" s="16" t="s">
        <v>178</v>
      </c>
      <c r="C94" s="16" t="s">
        <v>85</v>
      </c>
      <c r="D94" s="17" t="n">
        <v>0</v>
      </c>
      <c r="E94" s="17" t="n">
        <v>0</v>
      </c>
      <c r="F94" s="8" t="n">
        <f aca="false">IF(E94=0,0,D94/E94)</f>
        <v>0</v>
      </c>
    </row>
    <row r="95" customFormat="false" ht="15" hidden="false" customHeight="false" outlineLevel="0" collapsed="false">
      <c r="A95" s="16" t="s">
        <v>723</v>
      </c>
      <c r="B95" s="16" t="s">
        <v>178</v>
      </c>
      <c r="C95" s="16" t="s">
        <v>99</v>
      </c>
      <c r="D95" s="17" t="n">
        <v>6</v>
      </c>
      <c r="E95" s="17" t="n">
        <v>13</v>
      </c>
      <c r="F95" s="8" t="n">
        <f aca="false">IF(E95=0,0,D95/E95)</f>
        <v>0.461538461538462</v>
      </c>
    </row>
    <row r="96" customFormat="false" ht="15" hidden="false" customHeight="false" outlineLevel="0" collapsed="false">
      <c r="A96" s="16" t="s">
        <v>723</v>
      </c>
      <c r="B96" s="16" t="s">
        <v>178</v>
      </c>
      <c r="C96" s="16" t="s">
        <v>120</v>
      </c>
      <c r="D96" s="17" t="n">
        <v>9.73</v>
      </c>
      <c r="E96" s="17" t="n">
        <v>10</v>
      </c>
      <c r="F96" s="8" t="n">
        <f aca="false">IF(E96=0,0,D96/E96)</f>
        <v>0.973</v>
      </c>
    </row>
    <row r="97" customFormat="false" ht="15" hidden="false" customHeight="false" outlineLevel="0" collapsed="false">
      <c r="A97" s="16" t="s">
        <v>723</v>
      </c>
      <c r="B97" s="16" t="s">
        <v>178</v>
      </c>
      <c r="C97" s="16" t="s">
        <v>141</v>
      </c>
      <c r="D97" s="17" t="n">
        <v>9.25</v>
      </c>
      <c r="E97" s="17" t="n">
        <v>10</v>
      </c>
      <c r="F97" s="8" t="n">
        <f aca="false">IF(E97=0,0,D97/E97)</f>
        <v>0.925</v>
      </c>
    </row>
    <row r="98" customFormat="false" ht="15" hidden="false" customHeight="false" outlineLevel="0" collapsed="false">
      <c r="A98" s="16" t="s">
        <v>723</v>
      </c>
      <c r="B98" s="16" t="s">
        <v>178</v>
      </c>
      <c r="C98" s="16" t="s">
        <v>155</v>
      </c>
      <c r="D98" s="17" t="n">
        <v>7.02</v>
      </c>
      <c r="E98" s="17" t="n">
        <v>10</v>
      </c>
      <c r="F98" s="8" t="n">
        <f aca="false">IF(E98=0,0,D98/E98)</f>
        <v>0.702</v>
      </c>
    </row>
    <row r="99" customFormat="false" ht="15" hidden="false" customHeight="false" outlineLevel="0" collapsed="false">
      <c r="A99" s="16" t="s">
        <v>723</v>
      </c>
      <c r="B99" s="16" t="s">
        <v>178</v>
      </c>
      <c r="C99" s="16" t="s">
        <v>166</v>
      </c>
      <c r="D99" s="17" t="n">
        <v>9</v>
      </c>
      <c r="E99" s="17" t="n">
        <v>9</v>
      </c>
      <c r="F99" s="8" t="n">
        <f aca="false">IF(E99=0,0,D99/E99)</f>
        <v>1</v>
      </c>
    </row>
    <row r="100" customFormat="false" ht="15" hidden="false" customHeight="false" outlineLevel="0" collapsed="false">
      <c r="A100" s="16" t="s">
        <v>723</v>
      </c>
      <c r="B100" s="16" t="s">
        <v>178</v>
      </c>
      <c r="C100" s="16" t="s">
        <v>170</v>
      </c>
      <c r="D100" s="17" t="n">
        <v>1</v>
      </c>
      <c r="E100" s="17" t="n">
        <v>2</v>
      </c>
      <c r="F100" s="8" t="n">
        <f aca="false">IF(E100=0,0,D100/E100)</f>
        <v>0.5</v>
      </c>
    </row>
    <row r="101" customFormat="false" ht="15" hidden="false" customHeight="false" outlineLevel="0" collapsed="false">
      <c r="A101" s="16" t="s">
        <v>723</v>
      </c>
      <c r="B101" s="16" t="s">
        <v>178</v>
      </c>
      <c r="C101" s="16" t="s">
        <v>183</v>
      </c>
      <c r="D101" s="17" t="n">
        <v>8</v>
      </c>
      <c r="E101" s="17" t="n">
        <v>9</v>
      </c>
      <c r="F101" s="8" t="n">
        <f aca="false">IF(E101=0,0,D101/E101)</f>
        <v>0.888888888888889</v>
      </c>
    </row>
    <row r="102" customFormat="false" ht="15" hidden="false" customHeight="false" outlineLevel="0" collapsed="false">
      <c r="A102" s="16" t="s">
        <v>724</v>
      </c>
      <c r="B102" s="16" t="s">
        <v>115</v>
      </c>
      <c r="C102" s="16" t="s">
        <v>80</v>
      </c>
      <c r="D102" s="17" t="n">
        <v>0</v>
      </c>
      <c r="E102" s="17" t="n">
        <v>0</v>
      </c>
      <c r="F102" s="8" t="n">
        <f aca="false">IF(E102=0,0,D102/E102)</f>
        <v>0</v>
      </c>
    </row>
    <row r="103" customFormat="false" ht="15" hidden="false" customHeight="false" outlineLevel="0" collapsed="false">
      <c r="A103" s="16" t="s">
        <v>724</v>
      </c>
      <c r="B103" s="16" t="s">
        <v>115</v>
      </c>
      <c r="C103" s="16" t="s">
        <v>85</v>
      </c>
      <c r="D103" s="17" t="n">
        <v>0</v>
      </c>
      <c r="E103" s="17" t="n">
        <v>0</v>
      </c>
      <c r="F103" s="8" t="n">
        <f aca="false">IF(E103=0,0,D103/E103)</f>
        <v>0</v>
      </c>
    </row>
    <row r="104" customFormat="false" ht="15" hidden="false" customHeight="false" outlineLevel="0" collapsed="false">
      <c r="A104" s="16" t="s">
        <v>724</v>
      </c>
      <c r="B104" s="16" t="s">
        <v>115</v>
      </c>
      <c r="C104" s="16" t="s">
        <v>99</v>
      </c>
      <c r="D104" s="17" t="n">
        <v>12.83</v>
      </c>
      <c r="E104" s="17" t="n">
        <v>13</v>
      </c>
      <c r="F104" s="8" t="n">
        <f aca="false">IF(E104=0,0,D104/E104)</f>
        <v>0.986923076923077</v>
      </c>
    </row>
    <row r="105" customFormat="false" ht="15" hidden="false" customHeight="false" outlineLevel="0" collapsed="false">
      <c r="A105" s="16" t="s">
        <v>724</v>
      </c>
      <c r="B105" s="16" t="s">
        <v>115</v>
      </c>
      <c r="C105" s="16" t="s">
        <v>120</v>
      </c>
      <c r="D105" s="17" t="n">
        <v>10.17</v>
      </c>
      <c r="E105" s="17" t="n">
        <v>10</v>
      </c>
      <c r="F105" s="8" t="n">
        <f aca="false">IF(E105=0,0,D105/E105)</f>
        <v>1.017</v>
      </c>
    </row>
    <row r="106" customFormat="false" ht="15" hidden="false" customHeight="false" outlineLevel="0" collapsed="false">
      <c r="A106" s="16" t="s">
        <v>724</v>
      </c>
      <c r="B106" s="16" t="s">
        <v>115</v>
      </c>
      <c r="C106" s="16" t="s">
        <v>141</v>
      </c>
      <c r="D106" s="17" t="n">
        <v>10</v>
      </c>
      <c r="E106" s="17" t="n">
        <v>10</v>
      </c>
      <c r="F106" s="8" t="n">
        <f aca="false">IF(E106=0,0,D106/E106)</f>
        <v>1</v>
      </c>
    </row>
    <row r="107" customFormat="false" ht="15" hidden="false" customHeight="false" outlineLevel="0" collapsed="false">
      <c r="A107" s="16" t="s">
        <v>724</v>
      </c>
      <c r="B107" s="16" t="s">
        <v>115</v>
      </c>
      <c r="C107" s="16" t="s">
        <v>155</v>
      </c>
      <c r="D107" s="17" t="n">
        <v>10</v>
      </c>
      <c r="E107" s="17" t="n">
        <v>10</v>
      </c>
      <c r="F107" s="8" t="n">
        <f aca="false">IF(E107=0,0,D107/E107)</f>
        <v>1</v>
      </c>
    </row>
    <row r="108" customFormat="false" ht="15" hidden="false" customHeight="false" outlineLevel="0" collapsed="false">
      <c r="A108" s="16" t="s">
        <v>724</v>
      </c>
      <c r="B108" s="16" t="s">
        <v>115</v>
      </c>
      <c r="C108" s="16" t="s">
        <v>166</v>
      </c>
      <c r="D108" s="17" t="n">
        <v>3</v>
      </c>
      <c r="E108" s="17" t="n">
        <v>4</v>
      </c>
      <c r="F108" s="8" t="n">
        <f aca="false">IF(E108=0,0,D108/E108)</f>
        <v>0.75</v>
      </c>
    </row>
    <row r="109" customFormat="false" ht="15" hidden="false" customHeight="false" outlineLevel="0" collapsed="false">
      <c r="A109" s="16" t="s">
        <v>724</v>
      </c>
      <c r="B109" s="16" t="s">
        <v>115</v>
      </c>
      <c r="C109" s="16" t="s">
        <v>170</v>
      </c>
      <c r="D109" s="17" t="n">
        <v>7.5</v>
      </c>
      <c r="E109" s="17" t="n">
        <v>9</v>
      </c>
      <c r="F109" s="8" t="n">
        <f aca="false">IF(E109=0,0,D109/E109)</f>
        <v>0.833333333333333</v>
      </c>
    </row>
    <row r="110" customFormat="false" ht="15" hidden="false" customHeight="false" outlineLevel="0" collapsed="false">
      <c r="A110" s="16" t="s">
        <v>724</v>
      </c>
      <c r="B110" s="16" t="s">
        <v>115</v>
      </c>
      <c r="C110" s="16" t="s">
        <v>183</v>
      </c>
      <c r="D110" s="17" t="n">
        <v>5</v>
      </c>
      <c r="E110" s="17" t="n">
        <v>6</v>
      </c>
      <c r="F110" s="8" t="n">
        <f aca="false">IF(E110=0,0,D110/E110)</f>
        <v>0.833333333333333</v>
      </c>
    </row>
  </sheetData>
  <conditionalFormatting sqref="F2:F110">
    <cfRule type="expression" priority="2" aboveAverage="0" equalAverage="0" bottom="0" percent="0" rank="0" text="" dxfId="0">
      <formula>F2&gt;1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15625" defaultRowHeight="15" customHeight="false"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12" min="3" style="0" width="8"/>
    <col collapsed="false" customWidth="true" hidden="false" outlineLevel="0" max="14" min="13" style="0" width="10"/>
    <col collapsed="false" customWidth="true" hidden="false" outlineLevel="0" max="15" min="15" style="0" width="9"/>
  </cols>
  <sheetData>
    <row r="1" customFormat="false" ht="17.35" hidden="false" customHeight="false" outlineLevel="0" collapsed="false">
      <c r="A1" s="1" t="s">
        <v>725</v>
      </c>
    </row>
    <row r="3" customFormat="false" ht="15" hidden="false" customHeight="false" outlineLevel="0" collapsed="false">
      <c r="A3" s="13" t="s">
        <v>726</v>
      </c>
      <c r="B3" s="13" t="s">
        <v>711</v>
      </c>
      <c r="C3" s="13" t="s">
        <v>80</v>
      </c>
      <c r="D3" s="13" t="s">
        <v>85</v>
      </c>
      <c r="E3" s="13" t="s">
        <v>99</v>
      </c>
      <c r="F3" s="13" t="s">
        <v>120</v>
      </c>
      <c r="G3" s="13" t="s">
        <v>141</v>
      </c>
      <c r="H3" s="13" t="s">
        <v>155</v>
      </c>
      <c r="I3" s="13" t="s">
        <v>166</v>
      </c>
      <c r="J3" s="13" t="s">
        <v>170</v>
      </c>
      <c r="K3" s="13" t="s">
        <v>183</v>
      </c>
      <c r="L3" s="13" t="s">
        <v>663</v>
      </c>
      <c r="M3" s="13" t="s">
        <v>727</v>
      </c>
      <c r="N3" s="13" t="s">
        <v>728</v>
      </c>
      <c r="O3" s="13" t="s">
        <v>712</v>
      </c>
    </row>
    <row r="4" customFormat="false" ht="15" hidden="false" customHeight="false" outlineLevel="0" collapsed="false">
      <c r="A4" s="16" t="s">
        <v>713</v>
      </c>
      <c r="B4" s="16" t="s">
        <v>60</v>
      </c>
      <c r="C4" s="7" t="n">
        <f aca="false">SUMIFS(Phan_bo!$D:$D,Phan_bo!$A:$A,$A4,Phan_bo!$C:$C,C$3)</f>
        <v>8.76</v>
      </c>
      <c r="D4" s="7" t="n">
        <f aca="false">SUMIFS(Phan_bo!$D:$D,Phan_bo!$A:$A,$A4,Phan_bo!$C:$C,D$3)</f>
        <v>8.79</v>
      </c>
      <c r="E4" s="7" t="n">
        <f aca="false">SUMIFS(Phan_bo!$D:$D,Phan_bo!$A:$A,$A4,Phan_bo!$C:$C,E$3)</f>
        <v>11.74</v>
      </c>
      <c r="F4" s="7" t="n">
        <f aca="false">SUMIFS(Phan_bo!$D:$D,Phan_bo!$A:$A,$A4,Phan_bo!$C:$C,F$3)</f>
        <v>8.93</v>
      </c>
      <c r="G4" s="7" t="n">
        <f aca="false">SUMIFS(Phan_bo!$D:$D,Phan_bo!$A:$A,$A4,Phan_bo!$C:$C,G$3)</f>
        <v>5.02</v>
      </c>
      <c r="H4" s="7" t="n">
        <f aca="false">SUMIFS(Phan_bo!$D:$D,Phan_bo!$A:$A,$A4,Phan_bo!$C:$C,H$3)</f>
        <v>4.52</v>
      </c>
      <c r="I4" s="7" t="n">
        <f aca="false">SUMIFS(Phan_bo!$D:$D,Phan_bo!$A:$A,$A4,Phan_bo!$C:$C,I$3)</f>
        <v>5.52</v>
      </c>
      <c r="J4" s="7" t="n">
        <f aca="false">SUMIFS(Phan_bo!$D:$D,Phan_bo!$A:$A,$A4,Phan_bo!$C:$C,J$3)</f>
        <v>6.53</v>
      </c>
      <c r="K4" s="7" t="n">
        <f aca="false">SUMIFS(Phan_bo!$D:$D,Phan_bo!$A:$A,$A4,Phan_bo!$C:$C,K$3)</f>
        <v>4.52</v>
      </c>
      <c r="L4" s="7" t="n">
        <f aca="false">SUMIFS(Phan_bo!$D:$D,Phan_bo!$A:$A,$A4,Phan_bo!$C:$C,L$3)</f>
        <v>2</v>
      </c>
      <c r="M4" s="7" t="n">
        <f aca="false">SUM(C4:L4)</f>
        <v>66.33</v>
      </c>
      <c r="N4" s="7" t="n">
        <f aca="false">SUMIFS(Phan_bo!$E:$E,Phan_bo!$A:$A,$A4)</f>
        <v>86</v>
      </c>
      <c r="O4" s="8" t="n">
        <f aca="false">IF(N4=0,0,M4/N4)</f>
        <v>0.771279069767442</v>
      </c>
    </row>
    <row r="5" customFormat="false" ht="15" hidden="false" customHeight="false" outlineLevel="0" collapsed="false">
      <c r="A5" s="16" t="s">
        <v>714</v>
      </c>
      <c r="B5" s="16" t="s">
        <v>119</v>
      </c>
      <c r="C5" s="7" t="n">
        <f aca="false">SUMIFS(Phan_bo!$D:$D,Phan_bo!$A:$A,$A5,Phan_bo!$C:$C,C$3)</f>
        <v>4</v>
      </c>
      <c r="D5" s="7" t="n">
        <f aca="false">SUMIFS(Phan_bo!$D:$D,Phan_bo!$A:$A,$A5,Phan_bo!$C:$C,D$3)</f>
        <v>5</v>
      </c>
      <c r="E5" s="7" t="n">
        <f aca="false">SUMIFS(Phan_bo!$D:$D,Phan_bo!$A:$A,$A5,Phan_bo!$C:$C,E$3)</f>
        <v>7</v>
      </c>
      <c r="F5" s="7" t="n">
        <f aca="false">SUMIFS(Phan_bo!$D:$D,Phan_bo!$A:$A,$A5,Phan_bo!$C:$C,F$3)</f>
        <v>11.62</v>
      </c>
      <c r="G5" s="7" t="n">
        <f aca="false">SUMIFS(Phan_bo!$D:$D,Phan_bo!$A:$A,$A5,Phan_bo!$C:$C,G$3)</f>
        <v>8.38</v>
      </c>
      <c r="H5" s="7" t="n">
        <f aca="false">SUMIFS(Phan_bo!$D:$D,Phan_bo!$A:$A,$A5,Phan_bo!$C:$C,H$3)</f>
        <v>9</v>
      </c>
      <c r="I5" s="7" t="n">
        <f aca="false">SUMIFS(Phan_bo!$D:$D,Phan_bo!$A:$A,$A5,Phan_bo!$C:$C,I$3)</f>
        <v>0</v>
      </c>
      <c r="J5" s="7" t="n">
        <f aca="false">SUMIFS(Phan_bo!$D:$D,Phan_bo!$A:$A,$A5,Phan_bo!$C:$C,J$3)</f>
        <v>0</v>
      </c>
      <c r="K5" s="7" t="n">
        <f aca="false">SUMIFS(Phan_bo!$D:$D,Phan_bo!$A:$A,$A5,Phan_bo!$C:$C,K$3)</f>
        <v>5</v>
      </c>
      <c r="L5" s="7" t="n">
        <f aca="false">SUMIFS(Phan_bo!$D:$D,Phan_bo!$A:$A,$A5,Phan_bo!$C:$C,L$3)</f>
        <v>0</v>
      </c>
      <c r="M5" s="7" t="n">
        <f aca="false">SUM(C5:L5)</f>
        <v>50</v>
      </c>
      <c r="N5" s="7" t="n">
        <f aca="false">SUMIFS(Phan_bo!$E:$E,Phan_bo!$A:$A,$A5)</f>
        <v>69</v>
      </c>
      <c r="O5" s="8" t="n">
        <f aca="false">IF(N5=0,0,M5/N5)</f>
        <v>0.72463768115942</v>
      </c>
    </row>
    <row r="6" customFormat="false" ht="15" hidden="false" customHeight="false" outlineLevel="0" collapsed="false">
      <c r="A6" s="16" t="s">
        <v>715</v>
      </c>
      <c r="B6" s="16" t="s">
        <v>92</v>
      </c>
      <c r="C6" s="7" t="n">
        <f aca="false">SUMIFS(Phan_bo!$D:$D,Phan_bo!$A:$A,$A6,Phan_bo!$C:$C,C$3)</f>
        <v>9</v>
      </c>
      <c r="D6" s="7" t="n">
        <f aca="false">SUMIFS(Phan_bo!$D:$D,Phan_bo!$A:$A,$A6,Phan_bo!$C:$C,D$3)</f>
        <v>10</v>
      </c>
      <c r="E6" s="7" t="n">
        <f aca="false">SUMIFS(Phan_bo!$D:$D,Phan_bo!$A:$A,$A6,Phan_bo!$C:$C,E$3)</f>
        <v>11</v>
      </c>
      <c r="F6" s="7" t="n">
        <f aca="false">SUMIFS(Phan_bo!$D:$D,Phan_bo!$A:$A,$A6,Phan_bo!$C:$C,F$3)</f>
        <v>8.88</v>
      </c>
      <c r="G6" s="7" t="n">
        <f aca="false">SUMIFS(Phan_bo!$D:$D,Phan_bo!$A:$A,$A6,Phan_bo!$C:$C,G$3)</f>
        <v>8.29</v>
      </c>
      <c r="H6" s="7" t="n">
        <f aca="false">SUMIFS(Phan_bo!$D:$D,Phan_bo!$A:$A,$A6,Phan_bo!$C:$C,H$3)</f>
        <v>4.83</v>
      </c>
      <c r="I6" s="7" t="n">
        <f aca="false">SUMIFS(Phan_bo!$D:$D,Phan_bo!$A:$A,$A6,Phan_bo!$C:$C,I$3)</f>
        <v>0</v>
      </c>
      <c r="J6" s="7" t="n">
        <f aca="false">SUMIFS(Phan_bo!$D:$D,Phan_bo!$A:$A,$A6,Phan_bo!$C:$C,J$3)</f>
        <v>2</v>
      </c>
      <c r="K6" s="7" t="n">
        <f aca="false">SUMIFS(Phan_bo!$D:$D,Phan_bo!$A:$A,$A6,Phan_bo!$C:$C,K$3)</f>
        <v>4</v>
      </c>
      <c r="L6" s="7" t="n">
        <f aca="false">SUMIFS(Phan_bo!$D:$D,Phan_bo!$A:$A,$A6,Phan_bo!$C:$C,L$3)</f>
        <v>0</v>
      </c>
      <c r="M6" s="7" t="n">
        <f aca="false">SUM(C6:L6)</f>
        <v>58</v>
      </c>
      <c r="N6" s="7" t="n">
        <f aca="false">SUMIFS(Phan_bo!$E:$E,Phan_bo!$A:$A,$A6)</f>
        <v>71</v>
      </c>
      <c r="O6" s="8" t="n">
        <f aca="false">IF(N6=0,0,M6/N6)</f>
        <v>0.816901408450704</v>
      </c>
    </row>
    <row r="7" customFormat="false" ht="15" hidden="false" customHeight="false" outlineLevel="0" collapsed="false">
      <c r="A7" s="16" t="s">
        <v>716</v>
      </c>
      <c r="B7" s="16" t="s">
        <v>103</v>
      </c>
      <c r="C7" s="7" t="n">
        <f aca="false">SUMIFS(Phan_bo!$D:$D,Phan_bo!$A:$A,$A7,Phan_bo!$C:$C,C$3)</f>
        <v>5.86</v>
      </c>
      <c r="D7" s="7" t="n">
        <f aca="false">SUMIFS(Phan_bo!$D:$D,Phan_bo!$A:$A,$A7,Phan_bo!$C:$C,D$3)</f>
        <v>9.14</v>
      </c>
      <c r="E7" s="7" t="n">
        <f aca="false">SUMIFS(Phan_bo!$D:$D,Phan_bo!$A:$A,$A7,Phan_bo!$C:$C,E$3)</f>
        <v>12.25</v>
      </c>
      <c r="F7" s="7" t="n">
        <f aca="false">SUMIFS(Phan_bo!$D:$D,Phan_bo!$A:$A,$A7,Phan_bo!$C:$C,F$3)</f>
        <v>9.45</v>
      </c>
      <c r="G7" s="7" t="n">
        <f aca="false">SUMIFS(Phan_bo!$D:$D,Phan_bo!$A:$A,$A7,Phan_bo!$C:$C,G$3)</f>
        <v>9.3</v>
      </c>
      <c r="H7" s="7" t="n">
        <f aca="false">SUMIFS(Phan_bo!$D:$D,Phan_bo!$A:$A,$A7,Phan_bo!$C:$C,H$3)</f>
        <v>9.5</v>
      </c>
      <c r="I7" s="7" t="n">
        <f aca="false">SUMIFS(Phan_bo!$D:$D,Phan_bo!$A:$A,$A7,Phan_bo!$C:$C,I$3)</f>
        <v>2</v>
      </c>
      <c r="J7" s="7" t="n">
        <f aca="false">SUMIFS(Phan_bo!$D:$D,Phan_bo!$A:$A,$A7,Phan_bo!$C:$C,J$3)</f>
        <v>0</v>
      </c>
      <c r="K7" s="7" t="n">
        <f aca="false">SUMIFS(Phan_bo!$D:$D,Phan_bo!$A:$A,$A7,Phan_bo!$C:$C,K$3)</f>
        <v>9</v>
      </c>
      <c r="L7" s="7" t="n">
        <f aca="false">SUMIFS(Phan_bo!$D:$D,Phan_bo!$A:$A,$A7,Phan_bo!$C:$C,L$3)</f>
        <v>0</v>
      </c>
      <c r="M7" s="7" t="n">
        <f aca="false">SUM(C7:L7)</f>
        <v>66.5</v>
      </c>
      <c r="N7" s="7" t="n">
        <f aca="false">SUMIFS(Phan_bo!$E:$E,Phan_bo!$A:$A,$A7)</f>
        <v>76</v>
      </c>
      <c r="O7" s="8" t="n">
        <f aca="false">IF(N7=0,0,M7/N7)</f>
        <v>0.875</v>
      </c>
    </row>
    <row r="8" customFormat="false" ht="15" hidden="false" customHeight="false" outlineLevel="0" collapsed="false">
      <c r="A8" s="16" t="s">
        <v>717</v>
      </c>
      <c r="B8" s="16" t="s">
        <v>98</v>
      </c>
      <c r="C8" s="7" t="n">
        <f aca="false">SUMIFS(Phan_bo!$D:$D,Phan_bo!$A:$A,$A8,Phan_bo!$C:$C,C$3)</f>
        <v>10</v>
      </c>
      <c r="D8" s="7" t="n">
        <f aca="false">SUMIFS(Phan_bo!$D:$D,Phan_bo!$A:$A,$A8,Phan_bo!$C:$C,D$3)</f>
        <v>10</v>
      </c>
      <c r="E8" s="7" t="n">
        <f aca="false">SUMIFS(Phan_bo!$D:$D,Phan_bo!$A:$A,$A8,Phan_bo!$C:$C,E$3)</f>
        <v>11</v>
      </c>
      <c r="F8" s="7" t="n">
        <f aca="false">SUMIFS(Phan_bo!$D:$D,Phan_bo!$A:$A,$A8,Phan_bo!$C:$C,F$3)</f>
        <v>7.96</v>
      </c>
      <c r="G8" s="7" t="n">
        <f aca="false">SUMIFS(Phan_bo!$D:$D,Phan_bo!$A:$A,$A8,Phan_bo!$C:$C,G$3)</f>
        <v>8.04</v>
      </c>
      <c r="H8" s="7" t="n">
        <f aca="false">SUMIFS(Phan_bo!$D:$D,Phan_bo!$A:$A,$A8,Phan_bo!$C:$C,H$3)</f>
        <v>9.5</v>
      </c>
      <c r="I8" s="7" t="n">
        <f aca="false">SUMIFS(Phan_bo!$D:$D,Phan_bo!$A:$A,$A8,Phan_bo!$C:$C,I$3)</f>
        <v>7</v>
      </c>
      <c r="J8" s="7" t="n">
        <f aca="false">SUMIFS(Phan_bo!$D:$D,Phan_bo!$A:$A,$A8,Phan_bo!$C:$C,J$3)</f>
        <v>3.5</v>
      </c>
      <c r="K8" s="7" t="n">
        <f aca="false">SUMIFS(Phan_bo!$D:$D,Phan_bo!$A:$A,$A8,Phan_bo!$C:$C,K$3)</f>
        <v>5.5</v>
      </c>
      <c r="L8" s="7" t="n">
        <f aca="false">SUMIFS(Phan_bo!$D:$D,Phan_bo!$A:$A,$A8,Phan_bo!$C:$C,L$3)</f>
        <v>0</v>
      </c>
      <c r="M8" s="7" t="n">
        <f aca="false">SUM(C8:L8)</f>
        <v>72.5</v>
      </c>
      <c r="N8" s="7" t="n">
        <f aca="false">SUMIFS(Phan_bo!$E:$E,Phan_bo!$A:$A,$A8)</f>
        <v>83</v>
      </c>
      <c r="O8" s="8" t="n">
        <f aca="false">IF(N8=0,0,M8/N8)</f>
        <v>0.873493975903614</v>
      </c>
    </row>
    <row r="9" customFormat="false" ht="15" hidden="false" customHeight="false" outlineLevel="0" collapsed="false">
      <c r="A9" s="16" t="s">
        <v>718</v>
      </c>
      <c r="B9" s="16" t="s">
        <v>84</v>
      </c>
      <c r="C9" s="7" t="n">
        <f aca="false">SUMIFS(Phan_bo!$D:$D,Phan_bo!$A:$A,$A9,Phan_bo!$C:$C,C$3)</f>
        <v>9.67</v>
      </c>
      <c r="D9" s="7" t="n">
        <f aca="false">SUMIFS(Phan_bo!$D:$D,Phan_bo!$A:$A,$A9,Phan_bo!$C:$C,D$3)</f>
        <v>9</v>
      </c>
      <c r="E9" s="7" t="n">
        <f aca="false">SUMIFS(Phan_bo!$D:$D,Phan_bo!$A:$A,$A9,Phan_bo!$C:$C,E$3)</f>
        <v>12</v>
      </c>
      <c r="F9" s="7" t="n">
        <f aca="false">SUMIFS(Phan_bo!$D:$D,Phan_bo!$A:$A,$A9,Phan_bo!$C:$C,F$3)</f>
        <v>9.5</v>
      </c>
      <c r="G9" s="7" t="n">
        <f aca="false">SUMIFS(Phan_bo!$D:$D,Phan_bo!$A:$A,$A9,Phan_bo!$C:$C,G$3)</f>
        <v>7</v>
      </c>
      <c r="H9" s="7" t="n">
        <f aca="false">SUMIFS(Phan_bo!$D:$D,Phan_bo!$A:$A,$A9,Phan_bo!$C:$C,H$3)</f>
        <v>9.5</v>
      </c>
      <c r="I9" s="7" t="n">
        <f aca="false">SUMIFS(Phan_bo!$D:$D,Phan_bo!$A:$A,$A9,Phan_bo!$C:$C,I$3)</f>
        <v>0</v>
      </c>
      <c r="J9" s="7" t="n">
        <f aca="false">SUMIFS(Phan_bo!$D:$D,Phan_bo!$A:$A,$A9,Phan_bo!$C:$C,J$3)</f>
        <v>7.5</v>
      </c>
      <c r="K9" s="7" t="n">
        <f aca="false">SUMIFS(Phan_bo!$D:$D,Phan_bo!$A:$A,$A9,Phan_bo!$C:$C,K$3)</f>
        <v>6.5</v>
      </c>
      <c r="L9" s="7" t="n">
        <f aca="false">SUMIFS(Phan_bo!$D:$D,Phan_bo!$A:$A,$A9,Phan_bo!$C:$C,L$3)</f>
        <v>0</v>
      </c>
      <c r="M9" s="7" t="n">
        <f aca="false">SUM(C9:L9)</f>
        <v>70.67</v>
      </c>
      <c r="N9" s="7" t="n">
        <f aca="false">SUMIFS(Phan_bo!$E:$E,Phan_bo!$A:$A,$A9)</f>
        <v>80</v>
      </c>
      <c r="O9" s="8" t="n">
        <f aca="false">IF(N9=0,0,M9/N9)</f>
        <v>0.883375</v>
      </c>
    </row>
    <row r="10" customFormat="false" ht="15" hidden="false" customHeight="false" outlineLevel="0" collapsed="false">
      <c r="A10" s="16" t="s">
        <v>719</v>
      </c>
      <c r="B10" s="16" t="s">
        <v>137</v>
      </c>
      <c r="C10" s="7" t="n">
        <f aca="false">SUMIFS(Phan_bo!$D:$D,Phan_bo!$A:$A,$A10,Phan_bo!$C:$C,C$3)</f>
        <v>4</v>
      </c>
      <c r="D10" s="7" t="n">
        <f aca="false">SUMIFS(Phan_bo!$D:$D,Phan_bo!$A:$A,$A10,Phan_bo!$C:$C,D$3)</f>
        <v>9</v>
      </c>
      <c r="E10" s="7" t="n">
        <f aca="false">SUMIFS(Phan_bo!$D:$D,Phan_bo!$A:$A,$A10,Phan_bo!$C:$C,E$3)</f>
        <v>9</v>
      </c>
      <c r="F10" s="7" t="n">
        <f aca="false">SUMIFS(Phan_bo!$D:$D,Phan_bo!$A:$A,$A10,Phan_bo!$C:$C,F$3)</f>
        <v>8.35</v>
      </c>
      <c r="G10" s="7" t="n">
        <f aca="false">SUMIFS(Phan_bo!$D:$D,Phan_bo!$A:$A,$A10,Phan_bo!$C:$C,G$3)</f>
        <v>7.15</v>
      </c>
      <c r="H10" s="7" t="n">
        <f aca="false">SUMIFS(Phan_bo!$D:$D,Phan_bo!$A:$A,$A10,Phan_bo!$C:$C,H$3)</f>
        <v>10</v>
      </c>
      <c r="I10" s="7" t="n">
        <f aca="false">SUMIFS(Phan_bo!$D:$D,Phan_bo!$A:$A,$A10,Phan_bo!$C:$C,I$3)</f>
        <v>10</v>
      </c>
      <c r="J10" s="7" t="n">
        <f aca="false">SUMIFS(Phan_bo!$D:$D,Phan_bo!$A:$A,$A10,Phan_bo!$C:$C,J$3)</f>
        <v>2</v>
      </c>
      <c r="K10" s="7" t="n">
        <f aca="false">SUMIFS(Phan_bo!$D:$D,Phan_bo!$A:$A,$A10,Phan_bo!$C:$C,K$3)</f>
        <v>8</v>
      </c>
      <c r="L10" s="7" t="n">
        <f aca="false">SUMIFS(Phan_bo!$D:$D,Phan_bo!$A:$A,$A10,Phan_bo!$C:$C,L$3)</f>
        <v>0</v>
      </c>
      <c r="M10" s="7" t="n">
        <f aca="false">SUM(C10:L10)</f>
        <v>67.5</v>
      </c>
      <c r="N10" s="7" t="n">
        <f aca="false">SUMIFS(Phan_bo!$E:$E,Phan_bo!$A:$A,$A10)</f>
        <v>85</v>
      </c>
      <c r="O10" s="8" t="n">
        <f aca="false">IF(N10=0,0,M10/N10)</f>
        <v>0.794117647058824</v>
      </c>
    </row>
    <row r="11" customFormat="false" ht="15" hidden="false" customHeight="false" outlineLevel="0" collapsed="false">
      <c r="A11" s="16" t="s">
        <v>720</v>
      </c>
      <c r="B11" s="16" t="s">
        <v>165</v>
      </c>
      <c r="C11" s="7" t="n">
        <f aca="false">SUMIFS(Phan_bo!$D:$D,Phan_bo!$A:$A,$A11,Phan_bo!$C:$C,C$3)</f>
        <v>0</v>
      </c>
      <c r="D11" s="7" t="n">
        <f aca="false">SUMIFS(Phan_bo!$D:$D,Phan_bo!$A:$A,$A11,Phan_bo!$C:$C,D$3)</f>
        <v>4</v>
      </c>
      <c r="E11" s="7" t="n">
        <f aca="false">SUMIFS(Phan_bo!$D:$D,Phan_bo!$A:$A,$A11,Phan_bo!$C:$C,E$3)</f>
        <v>13.83</v>
      </c>
      <c r="F11" s="7" t="n">
        <f aca="false">SUMIFS(Phan_bo!$D:$D,Phan_bo!$A:$A,$A11,Phan_bo!$C:$C,F$3)</f>
        <v>10.27</v>
      </c>
      <c r="G11" s="7" t="n">
        <f aca="false">SUMIFS(Phan_bo!$D:$D,Phan_bo!$A:$A,$A11,Phan_bo!$C:$C,G$3)</f>
        <v>7.9</v>
      </c>
      <c r="H11" s="7" t="n">
        <f aca="false">SUMIFS(Phan_bo!$D:$D,Phan_bo!$A:$A,$A11,Phan_bo!$C:$C,H$3)</f>
        <v>6</v>
      </c>
      <c r="I11" s="7" t="n">
        <f aca="false">SUMIFS(Phan_bo!$D:$D,Phan_bo!$A:$A,$A11,Phan_bo!$C:$C,I$3)</f>
        <v>9</v>
      </c>
      <c r="J11" s="7" t="n">
        <f aca="false">SUMIFS(Phan_bo!$D:$D,Phan_bo!$A:$A,$A11,Phan_bo!$C:$C,J$3)</f>
        <v>3</v>
      </c>
      <c r="K11" s="7" t="n">
        <f aca="false">SUMIFS(Phan_bo!$D:$D,Phan_bo!$A:$A,$A11,Phan_bo!$C:$C,K$3)</f>
        <v>10</v>
      </c>
      <c r="L11" s="7" t="n">
        <f aca="false">SUMIFS(Phan_bo!$D:$D,Phan_bo!$A:$A,$A11,Phan_bo!$C:$C,L$3)</f>
        <v>0</v>
      </c>
      <c r="M11" s="7" t="n">
        <f aca="false">SUM(C11:L11)</f>
        <v>64</v>
      </c>
      <c r="N11" s="7" t="n">
        <f aca="false">SUMIFS(Phan_bo!$E:$E,Phan_bo!$A:$A,$A11)</f>
        <v>77</v>
      </c>
      <c r="O11" s="8" t="n">
        <f aca="false">IF(N11=0,0,M11/N11)</f>
        <v>0.831168831168831</v>
      </c>
    </row>
    <row r="12" customFormat="false" ht="15" hidden="false" customHeight="false" outlineLevel="0" collapsed="false">
      <c r="A12" s="16" t="s">
        <v>721</v>
      </c>
      <c r="B12" s="16" t="s">
        <v>249</v>
      </c>
      <c r="C12" s="7" t="n">
        <f aca="false">SUMIFS(Phan_bo!$D:$D,Phan_bo!$A:$A,$A12,Phan_bo!$C:$C,C$3)</f>
        <v>3</v>
      </c>
      <c r="D12" s="7" t="n">
        <f aca="false">SUMIFS(Phan_bo!$D:$D,Phan_bo!$A:$A,$A12,Phan_bo!$C:$C,D$3)</f>
        <v>3.83</v>
      </c>
      <c r="E12" s="7" t="n">
        <f aca="false">SUMIFS(Phan_bo!$D:$D,Phan_bo!$A:$A,$A12,Phan_bo!$C:$C,E$3)</f>
        <v>12.17</v>
      </c>
      <c r="F12" s="7" t="n">
        <f aca="false">SUMIFS(Phan_bo!$D:$D,Phan_bo!$A:$A,$A12,Phan_bo!$C:$C,F$3)</f>
        <v>8.25</v>
      </c>
      <c r="G12" s="7" t="n">
        <f aca="false">SUMIFS(Phan_bo!$D:$D,Phan_bo!$A:$A,$A12,Phan_bo!$C:$C,G$3)</f>
        <v>6.25</v>
      </c>
      <c r="H12" s="7" t="n">
        <f aca="false">SUMIFS(Phan_bo!$D:$D,Phan_bo!$A:$A,$A12,Phan_bo!$C:$C,H$3)</f>
        <v>7</v>
      </c>
      <c r="I12" s="7" t="n">
        <f aca="false">SUMIFS(Phan_bo!$D:$D,Phan_bo!$A:$A,$A12,Phan_bo!$C:$C,I$3)</f>
        <v>9</v>
      </c>
      <c r="J12" s="7" t="n">
        <f aca="false">SUMIFS(Phan_bo!$D:$D,Phan_bo!$A:$A,$A12,Phan_bo!$C:$C,J$3)</f>
        <v>6.5</v>
      </c>
      <c r="K12" s="7" t="n">
        <f aca="false">SUMIFS(Phan_bo!$D:$D,Phan_bo!$A:$A,$A12,Phan_bo!$C:$C,K$3)</f>
        <v>3.5</v>
      </c>
      <c r="L12" s="7" t="n">
        <f aca="false">SUMIFS(Phan_bo!$D:$D,Phan_bo!$A:$A,$A12,Phan_bo!$C:$C,L$3)</f>
        <v>0</v>
      </c>
      <c r="M12" s="7" t="n">
        <f aca="false">SUM(C12:L12)</f>
        <v>59.5</v>
      </c>
      <c r="N12" s="7" t="n">
        <f aca="false">SUMIFS(Phan_bo!$E:$E,Phan_bo!$A:$A,$A12)</f>
        <v>86</v>
      </c>
      <c r="O12" s="8" t="n">
        <f aca="false">IF(N12=0,0,M12/N12)</f>
        <v>0.691860465116279</v>
      </c>
    </row>
    <row r="13" customFormat="false" ht="15" hidden="false" customHeight="false" outlineLevel="0" collapsed="false">
      <c r="A13" s="16" t="s">
        <v>722</v>
      </c>
      <c r="B13" s="16" t="s">
        <v>187</v>
      </c>
      <c r="C13" s="7" t="n">
        <f aca="false">SUMIFS(Phan_bo!$D:$D,Phan_bo!$A:$A,$A13,Phan_bo!$C:$C,C$3)</f>
        <v>0</v>
      </c>
      <c r="D13" s="7" t="n">
        <f aca="false">SUMIFS(Phan_bo!$D:$D,Phan_bo!$A:$A,$A13,Phan_bo!$C:$C,D$3)</f>
        <v>3</v>
      </c>
      <c r="E13" s="7" t="n">
        <f aca="false">SUMIFS(Phan_bo!$D:$D,Phan_bo!$A:$A,$A13,Phan_bo!$C:$C,E$3)</f>
        <v>8.75</v>
      </c>
      <c r="F13" s="7" t="n">
        <f aca="false">SUMIFS(Phan_bo!$D:$D,Phan_bo!$A:$A,$A13,Phan_bo!$C:$C,F$3)</f>
        <v>11.16</v>
      </c>
      <c r="G13" s="7" t="n">
        <f aca="false">SUMIFS(Phan_bo!$D:$D,Phan_bo!$A:$A,$A13,Phan_bo!$C:$C,G$3)</f>
        <v>9.09</v>
      </c>
      <c r="H13" s="7" t="n">
        <f aca="false">SUMIFS(Phan_bo!$D:$D,Phan_bo!$A:$A,$A13,Phan_bo!$C:$C,H$3)</f>
        <v>4</v>
      </c>
      <c r="I13" s="7" t="n">
        <f aca="false">SUMIFS(Phan_bo!$D:$D,Phan_bo!$A:$A,$A13,Phan_bo!$C:$C,I$3)</f>
        <v>7</v>
      </c>
      <c r="J13" s="7" t="n">
        <f aca="false">SUMIFS(Phan_bo!$D:$D,Phan_bo!$A:$A,$A13,Phan_bo!$C:$C,J$3)</f>
        <v>1</v>
      </c>
      <c r="K13" s="7" t="n">
        <f aca="false">SUMIFS(Phan_bo!$D:$D,Phan_bo!$A:$A,$A13,Phan_bo!$C:$C,K$3)</f>
        <v>5.5</v>
      </c>
      <c r="L13" s="7" t="n">
        <f aca="false">SUMIFS(Phan_bo!$D:$D,Phan_bo!$A:$A,$A13,Phan_bo!$C:$C,L$3)</f>
        <v>0</v>
      </c>
      <c r="M13" s="7" t="n">
        <f aca="false">SUM(C13:L13)</f>
        <v>49.5</v>
      </c>
      <c r="N13" s="7" t="n">
        <f aca="false">SUMIFS(Phan_bo!$E:$E,Phan_bo!$A:$A,$A13)</f>
        <v>70</v>
      </c>
      <c r="O13" s="8" t="n">
        <f aca="false">IF(N13=0,0,M13/N13)</f>
        <v>0.707142857142857</v>
      </c>
    </row>
    <row r="14" customFormat="false" ht="15" hidden="false" customHeight="false" outlineLevel="0" collapsed="false">
      <c r="A14" s="16" t="s">
        <v>723</v>
      </c>
      <c r="B14" s="16" t="s">
        <v>178</v>
      </c>
      <c r="C14" s="7" t="n">
        <f aca="false">SUMIFS(Phan_bo!$D:$D,Phan_bo!$A:$A,$A14,Phan_bo!$C:$C,C$3)</f>
        <v>0</v>
      </c>
      <c r="D14" s="7" t="n">
        <f aca="false">SUMIFS(Phan_bo!$D:$D,Phan_bo!$A:$A,$A14,Phan_bo!$C:$C,D$3)</f>
        <v>0</v>
      </c>
      <c r="E14" s="7" t="n">
        <f aca="false">SUMIFS(Phan_bo!$D:$D,Phan_bo!$A:$A,$A14,Phan_bo!$C:$C,E$3)</f>
        <v>6</v>
      </c>
      <c r="F14" s="7" t="n">
        <f aca="false">SUMIFS(Phan_bo!$D:$D,Phan_bo!$A:$A,$A14,Phan_bo!$C:$C,F$3)</f>
        <v>9.73</v>
      </c>
      <c r="G14" s="7" t="n">
        <f aca="false">SUMIFS(Phan_bo!$D:$D,Phan_bo!$A:$A,$A14,Phan_bo!$C:$C,G$3)</f>
        <v>9.25</v>
      </c>
      <c r="H14" s="7" t="n">
        <f aca="false">SUMIFS(Phan_bo!$D:$D,Phan_bo!$A:$A,$A14,Phan_bo!$C:$C,H$3)</f>
        <v>7.02</v>
      </c>
      <c r="I14" s="7" t="n">
        <f aca="false">SUMIFS(Phan_bo!$D:$D,Phan_bo!$A:$A,$A14,Phan_bo!$C:$C,I$3)</f>
        <v>9</v>
      </c>
      <c r="J14" s="7" t="n">
        <f aca="false">SUMIFS(Phan_bo!$D:$D,Phan_bo!$A:$A,$A14,Phan_bo!$C:$C,J$3)</f>
        <v>1</v>
      </c>
      <c r="K14" s="7" t="n">
        <f aca="false">SUMIFS(Phan_bo!$D:$D,Phan_bo!$A:$A,$A14,Phan_bo!$C:$C,K$3)</f>
        <v>8</v>
      </c>
      <c r="L14" s="7" t="n">
        <f aca="false">SUMIFS(Phan_bo!$D:$D,Phan_bo!$A:$A,$A14,Phan_bo!$C:$C,L$3)</f>
        <v>0</v>
      </c>
      <c r="M14" s="7" t="n">
        <f aca="false">SUM(C14:L14)</f>
        <v>50</v>
      </c>
      <c r="N14" s="7" t="n">
        <f aca="false">SUMIFS(Phan_bo!$E:$E,Phan_bo!$A:$A,$A14)</f>
        <v>63</v>
      </c>
      <c r="O14" s="8" t="n">
        <f aca="false">IF(N14=0,0,M14/N14)</f>
        <v>0.793650793650794</v>
      </c>
    </row>
    <row r="15" customFormat="false" ht="15" hidden="false" customHeight="false" outlineLevel="0" collapsed="false">
      <c r="A15" s="16" t="s">
        <v>724</v>
      </c>
      <c r="B15" s="16" t="s">
        <v>115</v>
      </c>
      <c r="C15" s="7" t="n">
        <f aca="false">SUMIFS(Phan_bo!$D:$D,Phan_bo!$A:$A,$A15,Phan_bo!$C:$C,C$3)</f>
        <v>0</v>
      </c>
      <c r="D15" s="7" t="n">
        <f aca="false">SUMIFS(Phan_bo!$D:$D,Phan_bo!$A:$A,$A15,Phan_bo!$C:$C,D$3)</f>
        <v>0</v>
      </c>
      <c r="E15" s="7" t="n">
        <f aca="false">SUMIFS(Phan_bo!$D:$D,Phan_bo!$A:$A,$A15,Phan_bo!$C:$C,E$3)</f>
        <v>12.83</v>
      </c>
      <c r="F15" s="7" t="n">
        <f aca="false">SUMIFS(Phan_bo!$D:$D,Phan_bo!$A:$A,$A15,Phan_bo!$C:$C,F$3)</f>
        <v>10.17</v>
      </c>
      <c r="G15" s="7" t="n">
        <f aca="false">SUMIFS(Phan_bo!$D:$D,Phan_bo!$A:$A,$A15,Phan_bo!$C:$C,G$3)</f>
        <v>10</v>
      </c>
      <c r="H15" s="7" t="n">
        <f aca="false">SUMIFS(Phan_bo!$D:$D,Phan_bo!$A:$A,$A15,Phan_bo!$C:$C,H$3)</f>
        <v>10</v>
      </c>
      <c r="I15" s="7" t="n">
        <f aca="false">SUMIFS(Phan_bo!$D:$D,Phan_bo!$A:$A,$A15,Phan_bo!$C:$C,I$3)</f>
        <v>3</v>
      </c>
      <c r="J15" s="7" t="n">
        <f aca="false">SUMIFS(Phan_bo!$D:$D,Phan_bo!$A:$A,$A15,Phan_bo!$C:$C,J$3)</f>
        <v>7.5</v>
      </c>
      <c r="K15" s="7" t="n">
        <f aca="false">SUMIFS(Phan_bo!$D:$D,Phan_bo!$A:$A,$A15,Phan_bo!$C:$C,K$3)</f>
        <v>5</v>
      </c>
      <c r="L15" s="7" t="n">
        <f aca="false">SUMIFS(Phan_bo!$D:$D,Phan_bo!$A:$A,$A15,Phan_bo!$C:$C,L$3)</f>
        <v>0</v>
      </c>
      <c r="M15" s="7" t="n">
        <f aca="false">SUM(C15:L15)</f>
        <v>58.5</v>
      </c>
      <c r="N15" s="7" t="n">
        <f aca="false">SUMIFS(Phan_bo!$E:$E,Phan_bo!$A:$A,$A15)</f>
        <v>62</v>
      </c>
      <c r="O15" s="8" t="n">
        <f aca="false">IF(N15=0,0,M15/N15)</f>
        <v>0.943548387096774</v>
      </c>
    </row>
    <row r="17" customFormat="false" ht="15" hidden="false" customHeight="false" outlineLevel="0" collapsed="false">
      <c r="A17" s="11" t="s">
        <v>729</v>
      </c>
    </row>
  </sheetData>
  <conditionalFormatting sqref="C4:L15">
    <cfRule type="expression" priority="2" aboveAverage="0" equalAverage="0" bottom="0" percent="0" rank="0" text="" dxfId="0">
      <formula>AND(C$3&lt;&gt;"KT",C4&gt;SUMIFS(Phan_bo!$E:$E,Phan_bo!$A:$A,$A4,Phan_bo!$C:$C,C$3)+0.01)</formula>
    </cfRule>
    <cfRule type="expression" priority="3" aboveAverage="0" equalAverage="0" bottom="0" percent="0" rank="0" text="" dxfId="4">
      <formula>AND(SUMIFS(Phan_bo!$E:$E,Phan_bo!$A:$A,$A4,Phan_bo!$C:$C,C$3)&gt;0,C4&lt;0.3*SUMIFS(Phan_bo!$E:$E,Phan_bo!$A:$A,$A4,Phan_bo!$C:$C,C$3))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15625" defaultRowHeight="15" customHeight="false" zeroHeight="false" outlineLevelRow="0" outlineLevelCol="0"/>
  <cols>
    <col collapsed="false" customWidth="true" hidden="false" outlineLevel="0" max="1" min="1" style="0" width="8"/>
    <col collapsed="false" customWidth="true" hidden="false" outlineLevel="0" max="6" min="2" style="0" width="9"/>
    <col collapsed="false" customWidth="true" hidden="false" outlineLevel="0" max="7" min="7" style="0" width="10"/>
    <col collapsed="false" customWidth="true" hidden="false" outlineLevel="0" max="8" min="8" style="0" width="14"/>
    <col collapsed="false" customWidth="true" hidden="false" outlineLevel="0" max="9" min="9" style="0" width="11"/>
  </cols>
  <sheetData>
    <row r="1" customFormat="false" ht="17.35" hidden="false" customHeight="false" outlineLevel="0" collapsed="false">
      <c r="A1" s="1" t="s">
        <v>730</v>
      </c>
    </row>
    <row r="3" customFormat="false" ht="25" hidden="false" customHeight="false" outlineLevel="0" collapsed="false">
      <c r="A3" s="13" t="s">
        <v>25</v>
      </c>
      <c r="B3" s="13" t="s">
        <v>731</v>
      </c>
      <c r="C3" s="13" t="s">
        <v>732</v>
      </c>
      <c r="D3" s="13" t="s">
        <v>733</v>
      </c>
      <c r="E3" s="13" t="s">
        <v>734</v>
      </c>
      <c r="F3" s="13" t="s">
        <v>735</v>
      </c>
      <c r="G3" s="13" t="s">
        <v>727</v>
      </c>
      <c r="H3" s="13" t="s">
        <v>736</v>
      </c>
      <c r="I3" s="13" t="s">
        <v>642</v>
      </c>
    </row>
    <row r="4" customFormat="false" ht="15" hidden="false" customHeight="false" outlineLevel="0" collapsed="false">
      <c r="A4" s="16" t="s">
        <v>80</v>
      </c>
      <c r="B4" s="17" t="n">
        <v>21</v>
      </c>
      <c r="C4" s="17" t="n">
        <v>25</v>
      </c>
      <c r="D4" s="17" t="n">
        <v>0.86</v>
      </c>
      <c r="E4" s="17" t="n">
        <v>7.43</v>
      </c>
      <c r="F4" s="17" t="n">
        <v>0</v>
      </c>
      <c r="G4" s="7" t="n">
        <f aca="false">SUM(B4:F4)</f>
        <v>54.29</v>
      </c>
      <c r="H4" s="7" t="n">
        <f aca="false">SUMIFS(Phan_bo!$E:$E,Phan_bo!$C:$C,$A4)</f>
        <v>80</v>
      </c>
      <c r="I4" s="8" t="n">
        <f aca="false">IF(H4=0,0,G4/H4)</f>
        <v>0.678625</v>
      </c>
    </row>
    <row r="5" customFormat="false" ht="15" hidden="false" customHeight="false" outlineLevel="0" collapsed="false">
      <c r="A5" s="16" t="s">
        <v>85</v>
      </c>
      <c r="B5" s="17" t="n">
        <v>19.36</v>
      </c>
      <c r="C5" s="17" t="n">
        <v>32.83</v>
      </c>
      <c r="D5" s="17" t="n">
        <v>8.14</v>
      </c>
      <c r="E5" s="17" t="n">
        <v>8.43</v>
      </c>
      <c r="F5" s="17" t="n">
        <v>3</v>
      </c>
      <c r="G5" s="7" t="n">
        <f aca="false">SUM(B5:F5)</f>
        <v>71.76</v>
      </c>
      <c r="H5" s="7" t="n">
        <f aca="false">SUMIFS(Phan_bo!$E:$E,Phan_bo!$C:$C,$A5)</f>
        <v>100</v>
      </c>
      <c r="I5" s="8" t="n">
        <f aca="false">IF(H5=0,0,G5/H5)</f>
        <v>0.7176</v>
      </c>
    </row>
    <row r="6" customFormat="false" ht="15" hidden="false" customHeight="false" outlineLevel="0" collapsed="false">
      <c r="A6" s="16" t="s">
        <v>99</v>
      </c>
      <c r="B6" s="17" t="n">
        <v>23.64</v>
      </c>
      <c r="C6" s="17" t="n">
        <v>84.08</v>
      </c>
      <c r="D6" s="17" t="n">
        <v>0</v>
      </c>
      <c r="E6" s="17" t="n">
        <v>5.1</v>
      </c>
      <c r="F6" s="17" t="n">
        <v>14.75</v>
      </c>
      <c r="G6" s="7" t="n">
        <f aca="false">SUM(B6:F6)</f>
        <v>127.57</v>
      </c>
      <c r="H6" s="7" t="n">
        <f aca="false">SUMIFS(Phan_bo!$E:$E,Phan_bo!$C:$C,$A6)</f>
        <v>156</v>
      </c>
      <c r="I6" s="8" t="n">
        <f aca="false">IF(H6=0,0,G6/H6)</f>
        <v>0.81775641025641</v>
      </c>
    </row>
    <row r="7" customFormat="false" ht="15" hidden="false" customHeight="false" outlineLevel="0" collapsed="false">
      <c r="A7" s="16" t="s">
        <v>120</v>
      </c>
      <c r="B7" s="17" t="n">
        <v>2</v>
      </c>
      <c r="C7" s="17" t="n">
        <v>67.79</v>
      </c>
      <c r="D7" s="17" t="n">
        <v>1</v>
      </c>
      <c r="E7" s="17" t="n">
        <v>5.93</v>
      </c>
      <c r="F7" s="17" t="n">
        <v>37.55</v>
      </c>
      <c r="G7" s="7" t="n">
        <f aca="false">SUM(B7:F7)</f>
        <v>114.27</v>
      </c>
      <c r="H7" s="7" t="n">
        <f aca="false">SUMIFS(Phan_bo!$E:$E,Phan_bo!$C:$C,$A7)</f>
        <v>120</v>
      </c>
      <c r="I7" s="8" t="n">
        <f aca="false">IF(H7=0,0,G7/H7)</f>
        <v>0.95225</v>
      </c>
    </row>
    <row r="8" customFormat="false" ht="15" hidden="false" customHeight="false" outlineLevel="0" collapsed="false">
      <c r="A8" s="16" t="s">
        <v>141</v>
      </c>
      <c r="B8" s="17" t="n">
        <v>3</v>
      </c>
      <c r="C8" s="17" t="n">
        <v>41.3</v>
      </c>
      <c r="D8" s="17" t="n">
        <v>6</v>
      </c>
      <c r="E8" s="17" t="n">
        <v>5.02</v>
      </c>
      <c r="F8" s="17" t="n">
        <v>40.35</v>
      </c>
      <c r="G8" s="7" t="n">
        <f aca="false">SUM(B8:F8)</f>
        <v>95.67</v>
      </c>
      <c r="H8" s="7" t="n">
        <f aca="false">SUMIFS(Phan_bo!$E:$E,Phan_bo!$C:$C,$A8)</f>
        <v>120</v>
      </c>
      <c r="I8" s="8" t="n">
        <f aca="false">IF(H8=0,0,G8/H8)</f>
        <v>0.79725</v>
      </c>
    </row>
    <row r="9" customFormat="false" ht="15" hidden="false" customHeight="false" outlineLevel="0" collapsed="false">
      <c r="A9" s="16" t="s">
        <v>155</v>
      </c>
      <c r="B9" s="17" t="n">
        <v>14</v>
      </c>
      <c r="C9" s="17" t="n">
        <v>40</v>
      </c>
      <c r="D9" s="17" t="n">
        <v>4</v>
      </c>
      <c r="E9" s="17" t="n">
        <v>4.52</v>
      </c>
      <c r="F9" s="17" t="n">
        <v>28.35</v>
      </c>
      <c r="G9" s="7" t="n">
        <f aca="false">SUM(B9:F9)</f>
        <v>90.87</v>
      </c>
      <c r="H9" s="7" t="n">
        <f aca="false">SUMIFS(Phan_bo!$E:$E,Phan_bo!$C:$C,$A9)</f>
        <v>120</v>
      </c>
      <c r="I9" s="8" t="n">
        <f aca="false">IF(H9=0,0,G9/H9)</f>
        <v>0.75725</v>
      </c>
    </row>
    <row r="10" customFormat="false" ht="15" hidden="false" customHeight="false" outlineLevel="0" collapsed="false">
      <c r="A10" s="16" t="s">
        <v>166</v>
      </c>
      <c r="B10" s="17" t="n">
        <v>4</v>
      </c>
      <c r="C10" s="17" t="n">
        <v>24</v>
      </c>
      <c r="D10" s="17" t="n">
        <v>9</v>
      </c>
      <c r="E10" s="17" t="n">
        <v>4.52</v>
      </c>
      <c r="F10" s="17" t="n">
        <v>20</v>
      </c>
      <c r="G10" s="7" t="n">
        <f aca="false">SUM(B10:F10)</f>
        <v>61.52</v>
      </c>
      <c r="H10" s="7" t="n">
        <f aca="false">SUMIFS(Phan_bo!$E:$E,Phan_bo!$C:$C,$A10)</f>
        <v>69</v>
      </c>
      <c r="I10" s="8" t="n">
        <f aca="false">IF(H10=0,0,G10/H10)</f>
        <v>0.891594202898551</v>
      </c>
    </row>
    <row r="11" customFormat="false" ht="15" hidden="false" customHeight="false" outlineLevel="0" collapsed="false">
      <c r="A11" s="16" t="s">
        <v>170</v>
      </c>
      <c r="B11" s="17" t="n">
        <v>13</v>
      </c>
      <c r="C11" s="17" t="n">
        <v>10</v>
      </c>
      <c r="D11" s="17" t="n">
        <v>11</v>
      </c>
      <c r="E11" s="17" t="n">
        <v>4.53</v>
      </c>
      <c r="F11" s="17" t="n">
        <v>2</v>
      </c>
      <c r="G11" s="7" t="n">
        <f aca="false">SUM(B11:F11)</f>
        <v>40.53</v>
      </c>
      <c r="H11" s="7" t="n">
        <f aca="false">SUMIFS(Phan_bo!$E:$E,Phan_bo!$C:$C,$A11)</f>
        <v>53</v>
      </c>
      <c r="I11" s="8" t="n">
        <f aca="false">IF(H11=0,0,G11/H11)</f>
        <v>0.764716981132076</v>
      </c>
    </row>
    <row r="12" customFormat="false" ht="15" hidden="false" customHeight="false" outlineLevel="0" collapsed="false">
      <c r="A12" s="16" t="s">
        <v>183</v>
      </c>
      <c r="B12" s="17" t="n">
        <v>3</v>
      </c>
      <c r="C12" s="17" t="n">
        <v>34</v>
      </c>
      <c r="D12" s="17" t="n">
        <v>2</v>
      </c>
      <c r="E12" s="17" t="n">
        <v>4.52</v>
      </c>
      <c r="F12" s="17" t="n">
        <v>31</v>
      </c>
      <c r="G12" s="7" t="n">
        <f aca="false">SUM(B12:F12)</f>
        <v>74.52</v>
      </c>
      <c r="H12" s="7" t="n">
        <f aca="false">SUMIFS(Phan_bo!$E:$E,Phan_bo!$C:$C,$A12)</f>
        <v>88</v>
      </c>
      <c r="I12" s="8" t="n">
        <f aca="false">IF(H12=0,0,G12/H12)</f>
        <v>0.846818181818182</v>
      </c>
    </row>
    <row r="13" customFormat="false" ht="15" hidden="false" customHeight="false" outlineLevel="0" collapsed="false">
      <c r="A13" s="16" t="s">
        <v>663</v>
      </c>
      <c r="B13" s="17" t="n">
        <v>0</v>
      </c>
      <c r="C13" s="17" t="n">
        <v>0</v>
      </c>
      <c r="D13" s="17" t="n">
        <v>0</v>
      </c>
      <c r="E13" s="17" t="n">
        <v>2</v>
      </c>
      <c r="F13" s="17" t="n">
        <v>0</v>
      </c>
      <c r="G13" s="7" t="n">
        <f aca="false">SUM(B13:F13)</f>
        <v>2</v>
      </c>
      <c r="H13" s="7" t="n">
        <f aca="false">SUMIFS(Phan_bo!$E:$E,Phan_bo!$C:$C,$A13)</f>
        <v>2</v>
      </c>
      <c r="I13" s="8" t="n">
        <f aca="false">IF(H13=0,0,G13/H13)</f>
        <v>1</v>
      </c>
    </row>
    <row r="14" customFormat="false" ht="15" hidden="false" customHeight="false" outlineLevel="0" collapsed="false">
      <c r="A14" s="3" t="s">
        <v>665</v>
      </c>
      <c r="B14" s="14" t="n">
        <f aca="false">SUM(B4:B13)</f>
        <v>103</v>
      </c>
      <c r="C14" s="14" t="n">
        <f aca="false">SUM(C4:C13)</f>
        <v>359</v>
      </c>
      <c r="D14" s="14" t="n">
        <f aca="false">SUM(D4:D13)</f>
        <v>42</v>
      </c>
      <c r="E14" s="14" t="n">
        <f aca="false">SUM(E4:E13)</f>
        <v>52</v>
      </c>
      <c r="F14" s="14" t="n">
        <f aca="false">SUM(F4:F13)</f>
        <v>177</v>
      </c>
      <c r="G14" s="14" t="n">
        <f aca="false">SUM(G4:G13)</f>
        <v>733</v>
      </c>
      <c r="H14" s="14" t="n">
        <f aca="false">SUM(H4:H13)</f>
        <v>908</v>
      </c>
      <c r="I14" s="20" t="n">
        <f aca="false">IF(H14=0,0,G14/H14)</f>
        <v>0.80726872246696</v>
      </c>
    </row>
    <row r="16" customFormat="false" ht="15" hidden="false" customHeight="false" outlineLevel="0" collapsed="false">
      <c r="A16" s="11" t="s">
        <v>737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515625" defaultRowHeight="15" customHeight="false" zeroHeight="false" outlineLevelRow="0" outlineLevelCol="0"/>
  <cols>
    <col collapsed="false" customWidth="true" hidden="false" outlineLevel="0" max="1" min="1" style="0" width="8"/>
    <col collapsed="false" customWidth="true" hidden="false" outlineLevel="0" max="2" min="2" style="0" width="50"/>
    <col collapsed="false" customWidth="true" hidden="false" outlineLevel="0" max="3" min="3" style="0" width="12"/>
    <col collapsed="false" customWidth="true" hidden="false" outlineLevel="0" max="4" min="4" style="0" width="22"/>
    <col collapsed="false" customWidth="true" hidden="false" outlineLevel="0" max="5" min="5" style="0" width="14"/>
    <col collapsed="false" customWidth="true" hidden="false" outlineLevel="0" max="6" min="6" style="0" width="18"/>
    <col collapsed="false" customWidth="true" hidden="false" outlineLevel="0" max="7" min="7" style="0" width="16"/>
    <col collapsed="false" customWidth="true" hidden="false" outlineLevel="0" max="8" min="8" style="0" width="14"/>
  </cols>
  <sheetData>
    <row r="1" customFormat="false" ht="17.35" hidden="false" customHeight="false" outlineLevel="0" collapsed="false">
      <c r="A1" s="1" t="s">
        <v>738</v>
      </c>
    </row>
    <row r="3" customFormat="false" ht="48.85" hidden="false" customHeight="false" outlineLevel="0" collapsed="false">
      <c r="A3" s="13" t="s">
        <v>726</v>
      </c>
      <c r="B3" s="13" t="s">
        <v>739</v>
      </c>
      <c r="C3" s="13" t="s">
        <v>740</v>
      </c>
      <c r="D3" s="13" t="s">
        <v>741</v>
      </c>
      <c r="E3" s="13" t="s">
        <v>742</v>
      </c>
      <c r="F3" s="13" t="s">
        <v>670</v>
      </c>
      <c r="G3" s="13" t="s">
        <v>743</v>
      </c>
      <c r="H3" s="13" t="s">
        <v>744</v>
      </c>
    </row>
    <row r="4" customFormat="false" ht="15" hidden="false" customHeight="false" outlineLevel="0" collapsed="false">
      <c r="A4" s="16" t="s">
        <v>745</v>
      </c>
      <c r="B4" s="18" t="s">
        <v>746</v>
      </c>
      <c r="C4" s="5" t="n">
        <v>46491</v>
      </c>
      <c r="D4" s="18" t="s">
        <v>483</v>
      </c>
      <c r="E4" s="5" t="n">
        <v>46491</v>
      </c>
      <c r="F4" s="4" t="str">
        <f aca="false">IF(C4="","Không có hạn",IF(D4="","Chưa gắn gói",IF(E4&gt;=C4,"Đạt","Bắt đầu trước hạn")))</f>
        <v>Đạt</v>
      </c>
    </row>
    <row r="5" customFormat="false" ht="15" hidden="false" customHeight="false" outlineLevel="0" collapsed="false">
      <c r="A5" s="16" t="s">
        <v>747</v>
      </c>
      <c r="B5" s="18" t="s">
        <v>748</v>
      </c>
      <c r="C5" s="5" t="n">
        <v>46527</v>
      </c>
      <c r="D5" s="18" t="s">
        <v>525</v>
      </c>
      <c r="E5" s="5" t="n">
        <v>46533</v>
      </c>
      <c r="F5" s="4" t="str">
        <f aca="false">IF(C5="","Không có hạn",IF(D5="","Chưa gắn gói",IF(E5&gt;=C5,"Đạt","Bắt đầu trước hạn")))</f>
        <v>Đạt</v>
      </c>
    </row>
    <row r="6" customFormat="false" ht="25" hidden="false" customHeight="false" outlineLevel="0" collapsed="false">
      <c r="A6" s="16" t="s">
        <v>749</v>
      </c>
      <c r="B6" s="18" t="s">
        <v>750</v>
      </c>
      <c r="C6" s="5" t="n">
        <v>46548</v>
      </c>
      <c r="D6" s="18" t="s">
        <v>551</v>
      </c>
      <c r="E6" s="5" t="n">
        <v>46549</v>
      </c>
      <c r="F6" s="4" t="str">
        <f aca="false">IF(C6="","Không có hạn",IF(D6="","Chưa gắn gói",IF(E6&gt;=C6,"Đạt","Bắt đầu trước hạn")))</f>
        <v>Đạt</v>
      </c>
    </row>
    <row r="7" customFormat="false" ht="25" hidden="false" customHeight="false" outlineLevel="0" collapsed="false">
      <c r="A7" s="16" t="s">
        <v>751</v>
      </c>
      <c r="B7" s="18" t="s">
        <v>752</v>
      </c>
      <c r="C7" s="5" t="n">
        <v>46548</v>
      </c>
      <c r="D7" s="18" t="s">
        <v>554</v>
      </c>
      <c r="E7" s="5" t="n">
        <v>46554</v>
      </c>
      <c r="F7" s="4" t="str">
        <f aca="false">IF(C7="","Không có hạn",IF(D7="","Chưa gắn gói",IF(E7&gt;=C7,"Đạt","Bắt đầu trước hạn")))</f>
        <v>Đạt</v>
      </c>
    </row>
    <row r="8" customFormat="false" ht="36.9" hidden="false" customHeight="false" outlineLevel="0" collapsed="false">
      <c r="A8" s="16" t="s">
        <v>753</v>
      </c>
      <c r="B8" s="18" t="s">
        <v>754</v>
      </c>
      <c r="C8" s="5"/>
      <c r="D8" s="18" t="s">
        <v>336</v>
      </c>
      <c r="E8" s="5" t="n">
        <v>46511</v>
      </c>
      <c r="F8" s="4" t="str">
        <f aca="false">IF(C8="","Không có hạn",IF(D8="","Chưa gắn gói",IF(E8&gt;=C8,"Đạt","Bắt đầu trước hạn")))</f>
        <v>Không có hạn</v>
      </c>
    </row>
    <row r="9" customFormat="false" ht="25" hidden="false" customHeight="false" outlineLevel="0" collapsed="false">
      <c r="A9" s="16" t="s">
        <v>755</v>
      </c>
      <c r="B9" s="18" t="s">
        <v>756</v>
      </c>
      <c r="C9" s="5" t="n">
        <v>46595</v>
      </c>
      <c r="D9" s="18" t="s">
        <v>690</v>
      </c>
      <c r="E9" s="5" t="n">
        <v>46584</v>
      </c>
      <c r="F9" s="4" t="str">
        <f aca="false">IF(AND(E9&gt;=G9,H9&lt;=C9),"Trong khoảng cam kết","Ngoài khoảng cam kết")</f>
        <v>Trong khoảng cam kết</v>
      </c>
      <c r="G9" s="5" t="n">
        <v>46584</v>
      </c>
      <c r="H9" s="5" t="n">
        <v>46595</v>
      </c>
    </row>
    <row r="10" customFormat="false" ht="36.9" hidden="false" customHeight="false" outlineLevel="0" collapsed="false">
      <c r="A10" s="16" t="s">
        <v>757</v>
      </c>
      <c r="B10" s="18" t="s">
        <v>758</v>
      </c>
      <c r="C10" s="5" t="n">
        <v>46527</v>
      </c>
      <c r="D10" s="18" t="s">
        <v>454</v>
      </c>
      <c r="E10" s="5" t="n">
        <v>46527</v>
      </c>
      <c r="F10" s="4" t="str">
        <f aca="false">IF(C10="","Không có hạn",IF(D10="","Chưa gắn gói",IF(E10&gt;=C10,"Đạt","Bắt đầu trước hạn")))</f>
        <v>Đạt</v>
      </c>
    </row>
    <row r="11" customFormat="false" ht="36.9" hidden="false" customHeight="false" outlineLevel="0" collapsed="false">
      <c r="A11" s="16" t="s">
        <v>759</v>
      </c>
      <c r="B11" s="18" t="s">
        <v>760</v>
      </c>
      <c r="C11" s="5" t="n">
        <v>46527</v>
      </c>
      <c r="D11" s="18" t="s">
        <v>525</v>
      </c>
      <c r="E11" s="5" t="n">
        <v>46533</v>
      </c>
      <c r="F11" s="4" t="str">
        <f aca="false">IF(C11="","Không có hạn",IF(D11="","Chưa gắn gói",IF(E11&gt;=C11,"Đạt","Bắt đầu trước hạn")))</f>
        <v>Đạt</v>
      </c>
    </row>
    <row r="12" customFormat="false" ht="60.75" hidden="false" customHeight="false" outlineLevel="0" collapsed="false">
      <c r="A12" s="16" t="s">
        <v>761</v>
      </c>
      <c r="B12" s="18" t="s">
        <v>762</v>
      </c>
      <c r="C12" s="5" t="n">
        <v>46539</v>
      </c>
      <c r="D12" s="18" t="s">
        <v>763</v>
      </c>
      <c r="E12" s="5" t="n">
        <v>46539</v>
      </c>
      <c r="F12" s="4" t="str">
        <f aca="false">IF(C12="","Không có hạn",IF(D12="","Chưa gắn gói",IF(E12&gt;=C12,"Đạt","Bắt đầu trước hạn")))</f>
        <v>Đạt</v>
      </c>
    </row>
    <row r="13" customFormat="false" ht="36.9" hidden="false" customHeight="false" outlineLevel="0" collapsed="false">
      <c r="A13" s="16" t="s">
        <v>764</v>
      </c>
      <c r="B13" s="18" t="s">
        <v>765</v>
      </c>
      <c r="C13" s="5" t="n">
        <v>46548</v>
      </c>
      <c r="D13" s="18" t="s">
        <v>766</v>
      </c>
      <c r="E13" s="5" t="n">
        <v>46548</v>
      </c>
      <c r="F13" s="4" t="str">
        <f aca="false">IF(C13="","Không có hạn",IF(D13="","Chưa gắn gói",IF(E13&gt;=C13,"Đạt","Bắt đầu trước hạn")))</f>
        <v>Đạt</v>
      </c>
    </row>
    <row r="15" customFormat="false" ht="17.35" hidden="false" customHeight="false" outlineLevel="0" collapsed="false">
      <c r="A15" s="1" t="s">
        <v>767</v>
      </c>
    </row>
    <row r="16" customFormat="false" ht="25" hidden="false" customHeight="false" outlineLevel="0" collapsed="false">
      <c r="A16" s="13" t="s">
        <v>768</v>
      </c>
      <c r="B16" s="13" t="s">
        <v>769</v>
      </c>
      <c r="C16" s="13" t="s">
        <v>770</v>
      </c>
      <c r="D16" s="13" t="s">
        <v>22</v>
      </c>
      <c r="E16" s="13" t="s">
        <v>23</v>
      </c>
      <c r="F16" s="13" t="s">
        <v>5</v>
      </c>
      <c r="G16" s="13" t="s">
        <v>670</v>
      </c>
    </row>
    <row r="17" customFormat="false" ht="15" hidden="false" customHeight="false" outlineLevel="0" collapsed="false">
      <c r="A17" s="16" t="s">
        <v>325</v>
      </c>
      <c r="B17" s="16" t="s">
        <v>771</v>
      </c>
      <c r="C17" s="9" t="n">
        <v>5</v>
      </c>
      <c r="D17" s="5" t="n">
        <v>46485</v>
      </c>
      <c r="E17" s="5" t="n">
        <v>46491</v>
      </c>
      <c r="F17" s="6" t="n">
        <f aca="false">NETWORKDAYS(D17,E17,Tong_quan!$F$4:$F$40)</f>
        <v>5</v>
      </c>
      <c r="G17" s="4" t="str">
        <f aca="false">IF(F17&gt;=C17,"Đủ thời lượng","Thiếu thời lượng")</f>
        <v>Đủ thời lượng</v>
      </c>
    </row>
    <row r="18" customFormat="false" ht="15" hidden="false" customHeight="false" outlineLevel="0" collapsed="false">
      <c r="A18" s="16" t="s">
        <v>336</v>
      </c>
      <c r="B18" s="16" t="s">
        <v>771</v>
      </c>
      <c r="C18" s="9" t="n">
        <v>5</v>
      </c>
      <c r="D18" s="5" t="n">
        <v>46511</v>
      </c>
      <c r="E18" s="5" t="n">
        <v>46513</v>
      </c>
      <c r="F18" s="6" t="n">
        <f aca="false">NETWORKDAYS(D18,E18,Tong_quan!$F$4:$F$40)</f>
        <v>3</v>
      </c>
      <c r="G18" s="4" t="str">
        <f aca="false">IF(F18&gt;=C18,"Đủ thời lượng","Thiếu thời lượng")</f>
        <v>Thiếu thời lượng</v>
      </c>
    </row>
    <row r="19" customFormat="false" ht="15" hidden="false" customHeight="false" outlineLevel="0" collapsed="false">
      <c r="A19" s="16" t="s">
        <v>486</v>
      </c>
      <c r="B19" s="16" t="s">
        <v>771</v>
      </c>
      <c r="C19" s="9" t="n">
        <v>5</v>
      </c>
      <c r="D19" s="5" t="n">
        <v>46518</v>
      </c>
      <c r="E19" s="5" t="n">
        <v>46524</v>
      </c>
      <c r="F19" s="6" t="n">
        <f aca="false">NETWORKDAYS(D19,E19,Tong_quan!$F$4:$F$40)</f>
        <v>5</v>
      </c>
      <c r="G19" s="4" t="str">
        <f aca="false">IF(F19&gt;=C19,"Đủ thời lượng","Thiếu thời lượng")</f>
        <v>Đủ thời lượng</v>
      </c>
    </row>
    <row r="20" customFormat="false" ht="15" hidden="false" customHeight="false" outlineLevel="0" collapsed="false">
      <c r="A20" s="16" t="s">
        <v>534</v>
      </c>
      <c r="B20" s="16" t="s">
        <v>771</v>
      </c>
      <c r="C20" s="9" t="n">
        <v>5</v>
      </c>
      <c r="D20" s="5" t="n">
        <v>46570</v>
      </c>
      <c r="E20" s="5" t="n">
        <v>46576</v>
      </c>
      <c r="F20" s="6" t="n">
        <f aca="false">NETWORKDAYS(D20,E20,Tong_quan!$F$4:$F$40)</f>
        <v>5</v>
      </c>
      <c r="G20" s="4" t="str">
        <f aca="false">IF(F20&gt;=C20,"Đủ thời lượng","Thiếu thời lượng")</f>
        <v>Đủ thời lượng</v>
      </c>
    </row>
    <row r="21" customFormat="false" ht="15" hidden="false" customHeight="false" outlineLevel="0" collapsed="false">
      <c r="A21" s="16" t="s">
        <v>452</v>
      </c>
      <c r="B21" s="16" t="s">
        <v>771</v>
      </c>
      <c r="C21" s="9" t="n">
        <v>5</v>
      </c>
      <c r="D21" s="5" t="n">
        <v>46561</v>
      </c>
      <c r="E21" s="5" t="n">
        <v>46567</v>
      </c>
      <c r="F21" s="6" t="n">
        <f aca="false">NETWORKDAYS(D21,E21,Tong_quan!$F$4:$F$40)</f>
        <v>5</v>
      </c>
      <c r="G21" s="4" t="str">
        <f aca="false">IF(F21&gt;=C21,"Đủ thời lượng","Thiếu thời lượng")</f>
        <v>Đủ thời lượng</v>
      </c>
    </row>
    <row r="22" customFormat="false" ht="15" hidden="false" customHeight="false" outlineLevel="0" collapsed="false">
      <c r="A22" s="16" t="s">
        <v>185</v>
      </c>
      <c r="B22" s="16" t="s">
        <v>772</v>
      </c>
      <c r="C22" s="9" t="n">
        <v>8</v>
      </c>
      <c r="D22" s="5" t="n">
        <v>46584</v>
      </c>
      <c r="E22" s="5" t="n">
        <v>46595</v>
      </c>
      <c r="F22" s="6" t="n">
        <f aca="false">NETWORKDAYS(D22,E22,Tong_quan!$F$4:$F$40)</f>
        <v>8</v>
      </c>
      <c r="G22" s="4" t="str">
        <f aca="false">IF(F22&gt;=C22,"Đủ thời lượng","Thiếu thời lượng")</f>
        <v>Đủ thời lượng</v>
      </c>
    </row>
    <row r="23" customFormat="false" ht="15" hidden="false" customHeight="false" outlineLevel="0" collapsed="false">
      <c r="A23" s="16" t="s">
        <v>302</v>
      </c>
      <c r="B23" s="16" t="s">
        <v>772</v>
      </c>
      <c r="C23" s="9" t="n">
        <v>8</v>
      </c>
      <c r="D23" s="5" t="n">
        <v>46584</v>
      </c>
      <c r="E23" s="5" t="n">
        <v>46595</v>
      </c>
      <c r="F23" s="6" t="n">
        <f aca="false">NETWORKDAYS(D23,E23,Tong_quan!$F$4:$F$40)</f>
        <v>8</v>
      </c>
      <c r="G23" s="4" t="str">
        <f aca="false">IF(F23&gt;=C23,"Đủ thời lượng","Thiếu thời lượng")</f>
        <v>Đủ thời lượng</v>
      </c>
    </row>
    <row r="24" customFormat="false" ht="15" hidden="false" customHeight="false" outlineLevel="0" collapsed="false">
      <c r="A24" s="16" t="s">
        <v>442</v>
      </c>
      <c r="B24" s="16" t="s">
        <v>772</v>
      </c>
      <c r="C24" s="9" t="n">
        <v>8</v>
      </c>
      <c r="D24" s="5" t="n">
        <v>46584</v>
      </c>
      <c r="E24" s="5" t="n">
        <v>46595</v>
      </c>
      <c r="F24" s="6" t="n">
        <f aca="false">NETWORKDAYS(D24,E24,Tong_quan!$F$4:$F$40)</f>
        <v>8</v>
      </c>
      <c r="G24" s="4" t="str">
        <f aca="false">IF(F24&gt;=C24,"Đủ thời lượng","Thiếu thời lượng")</f>
        <v>Đủ thời lượng</v>
      </c>
    </row>
    <row r="25" customFormat="false" ht="15" hidden="false" customHeight="false" outlineLevel="0" collapsed="false">
      <c r="A25" s="16" t="s">
        <v>623</v>
      </c>
      <c r="B25" s="16" t="s">
        <v>772</v>
      </c>
      <c r="C25" s="9" t="n">
        <v>8</v>
      </c>
      <c r="D25" s="5" t="n">
        <v>46584</v>
      </c>
      <c r="E25" s="5" t="n">
        <v>46595</v>
      </c>
      <c r="F25" s="6" t="n">
        <f aca="false">NETWORKDAYS(D25,E25,Tong_quan!$F$4:$F$40)</f>
        <v>8</v>
      </c>
      <c r="G25" s="4" t="str">
        <f aca="false">IF(F25&gt;=C25,"Đủ thời lượng","Thiếu thời lượng")</f>
        <v>Đủ thời lượng</v>
      </c>
    </row>
    <row r="26" customFormat="false" ht="15" hidden="false" customHeight="false" outlineLevel="0" collapsed="false">
      <c r="A26" s="16" t="s">
        <v>580</v>
      </c>
      <c r="B26" s="16" t="s">
        <v>771</v>
      </c>
      <c r="C26" s="9" t="n">
        <v>5</v>
      </c>
      <c r="D26" s="5" t="n">
        <v>46549</v>
      </c>
      <c r="E26" s="5" t="n">
        <v>46555</v>
      </c>
      <c r="F26" s="6" t="n">
        <f aca="false">NETWORKDAYS(D26,E26,Tong_quan!$F$4:$F$40)</f>
        <v>5</v>
      </c>
      <c r="G26" s="4" t="str">
        <f aca="false">IF(F26&gt;=C26,"Đủ thời lượng","Thiếu thời lượng")</f>
        <v>Đủ thời lượng</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15625" defaultRowHeight="15" customHeight="false" zeroHeight="false" outlineLevelRow="0" outlineLevelCol="0"/>
  <cols>
    <col collapsed="false" customWidth="true" hidden="false" outlineLevel="0" max="1" min="1" style="0" width="120"/>
  </cols>
  <sheetData>
    <row r="1" customFormat="false" ht="17.35" hidden="false" customHeight="false" outlineLevel="0" collapsed="false">
      <c r="A1" s="1" t="s">
        <v>773</v>
      </c>
    </row>
    <row r="2" customFormat="false" ht="15" hidden="false" customHeight="false" outlineLevel="0" collapsed="false">
      <c r="A2" s="2" t="s">
        <v>774</v>
      </c>
    </row>
    <row r="3" customFormat="false" ht="15" hidden="false" customHeight="false" outlineLevel="0" collapsed="false">
      <c r="A3" s="2" t="s">
        <v>775</v>
      </c>
    </row>
    <row r="4" customFormat="false" ht="15" hidden="false" customHeight="false" outlineLevel="0" collapsed="false">
      <c r="A4" s="2" t="s">
        <v>776</v>
      </c>
    </row>
    <row r="5" customFormat="false" ht="15" hidden="false" customHeight="false" outlineLevel="0" collapsed="false">
      <c r="A5" s="2" t="s">
        <v>777</v>
      </c>
    </row>
    <row r="6" customFormat="false" ht="15" hidden="false" customHeight="false" outlineLevel="0" collapsed="false">
      <c r="A6" s="2" t="s">
        <v>778</v>
      </c>
    </row>
    <row r="7" customFormat="false" ht="15" hidden="false" customHeight="false" outlineLevel="0" collapsed="false">
      <c r="A7" s="2" t="s">
        <v>779</v>
      </c>
    </row>
    <row r="8" customFormat="false" ht="15" hidden="false" customHeight="false" outlineLevel="0" collapsed="false">
      <c r="A8" s="2" t="s">
        <v>780</v>
      </c>
    </row>
    <row r="9" customFormat="false" ht="15" hidden="false" customHeight="false" outlineLevel="0" collapsed="false">
      <c r="A9" s="2" t="s">
        <v>781</v>
      </c>
    </row>
    <row r="10" customFormat="false" ht="15" hidden="false" customHeight="false" outlineLevel="0" collapsed="false">
      <c r="A10" s="2" t="s">
        <v>782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2026-10-25T10:46:09Z</dcterms:created>
  <dc:creator>Trần Bá Đạt</dc:creator>
  <dc:description/>
  <dc:language>en-US</dc:language>
  <cp:lastModifiedBy>Trần Bá Đạt</cp:lastModifiedBy>
  <dcterms:modified xsi:type="dcterms:W3CDTF">2026-10-25T10:46:09Z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