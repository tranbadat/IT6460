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huyet_minh" sheetId="1" state="visible" r:id="rId3"/>
    <sheet name="Bang_luong" sheetId="2" state="visible" r:id="rId4"/>
    <sheet name="Theo_sprint" sheetId="3" state="visible" r:id="rId5"/>
    <sheet name="Doi_chieu" sheetId="4" state="visible" r:id="rId6"/>
    <sheet name="Tham_so" sheetId="5" state="visible" r:id="rId7"/>
    <sheet name="Sprint" sheetId="6" state="visible" r:id="rId8"/>
    <sheet name="Nhat_ky" sheetId="7" state="visible" r:id="rId9"/>
    <sheet name="Huy_don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<sst xmlns="http://schemas.openxmlformats.org/spreadsheetml/2006/main" count="2385" uniqueCount="324">
  <si>
    <t xml:space="preserve">Bảng phân chia lương</t>
  </si>
  <si>
    <t xml:space="preserve">Xây dựng và triển khai hệ thống website bán hàng trực tuyến (Web Selling Site System)</t>
  </si>
  <si>
    <t xml:space="preserve">Nhóm PM_26I_02</t>
  </si>
  <si>
    <t xml:space="preserve">Số liệu tính đến ngày 12/08/2027. Cách trả lương do nhóm khai báo: trả theo công sức (MD công việc).</t>
  </si>
  <si>
    <t xml:space="preserve">Căn cứ</t>
  </si>
  <si>
    <t xml:space="preserve">1. Công sức thực tế theo nhật ký công việc (sheet Nhat_ky), mỗi dòng là MD của một thành viên cho một gói WBS trong một ngày.</t>
  </si>
  <si>
    <t xml:space="preserve">2. Ngày huy động theo kế hoạch huy động của master schedule (sheet Huy_dong), cùng nguồn với cost estimate, tính đến ngày trên, cộng huy động bổ sung thực tế theo nhu cầu 13 MD theo dau_vao/thuc_te/huy_dong_bo_sung.json.</t>
  </si>
  <si>
    <t xml:space="preserve">3. Đơn giá ngày của vai trò bằng lương tham chiếu tháng chia số ngày làm việc mỗi tháng (sheet Tham_so).</t>
  </si>
  <si>
    <t xml:space="preserve">4. Lương bằng ngày tính lương nhân đơn giá ngày, ngày tính lương là MD thực tế. Chi phí doanh nghiệp gồm lương và phần bảo hiểm theo hệ số.</t>
  </si>
  <si>
    <t xml:space="preserve">5. Tỷ trọng đóng góp là tỷ lệ MD thực tế của thành viên trên tổng MD thực tế.</t>
  </si>
  <si>
    <t xml:space="preserve">6. Ngày sẵn sàng không ghi công bằng ngày huy động trừ MD thực tế, trình bày riêng để đối chiếu, không dùng để trừ lương.</t>
  </si>
  <si>
    <t xml:space="preserve">7. Bảng đối chiếu MD kế hoạch theo master schedule, khoản A và chi phí lương kế hoạch của cost estimate theo cùng cách trả lương (MD công việc, sheet Doi_chieu).</t>
  </si>
  <si>
    <t xml:space="preserve">8. Số liệu thực tế trong bảng là số liệu mô phỏng. Số liệu mô phỏng: dữ liệu thực tế trong dau_vao/thuc_te/ do script qlda-mo-phong/scripts/mo_phong_sprint.py sinh từ kịch bản biến cố từng sprint (lam_viec/mo_phong/kich_ban_S&lt;n&gt;.json) theo kế hoạch đã duyệt hiện hành, không phải số liệu đo được của dự án thật.</t>
  </si>
  <si>
    <t xml:space="preserve">Ký hiệu</t>
  </si>
  <si>
    <t xml:space="preserve">Chữ xanh dương: số liệu nhập. Chữ xanh lá: tham chiếu sheet khác. Chữ đen: công thức.</t>
  </si>
  <si>
    <t xml:space="preserve">Xác nhận</t>
  </si>
  <si>
    <t xml:space="preserve">Thành viên ký xác nhận tại cột cuối của sheet Bang_luong.</t>
  </si>
  <si>
    <t xml:space="preserve">Người lập: Trần Bá Đạt</t>
  </si>
  <si>
    <t xml:space="preserve">STT</t>
  </si>
  <si>
    <t xml:space="preserve">Mã thành viên</t>
  </si>
  <si>
    <t xml:space="preserve">Họ tên</t>
  </si>
  <si>
    <t xml:space="preserve">Loại</t>
  </si>
  <si>
    <t xml:space="preserve">Vai trò</t>
  </si>
  <si>
    <t xml:space="preserve">MD kế hoạch</t>
  </si>
  <si>
    <t xml:space="preserve">MD huy động</t>
  </si>
  <si>
    <t xml:space="preserve">MD thực tế</t>
  </si>
  <si>
    <t xml:space="preserve">Ngày sẵn sàng không ghi công</t>
  </si>
  <si>
    <t xml:space="preserve">Chênh lệch MD so với kế hoạch</t>
  </si>
  <si>
    <t xml:space="preserve">Tỷ trọng đóng góp</t>
  </si>
  <si>
    <t xml:space="preserve">Đơn giá ngày, đồng</t>
  </si>
  <si>
    <t xml:space="preserve">Ngày tính lương</t>
  </si>
  <si>
    <t xml:space="preserve">Lương, đồng</t>
  </si>
  <si>
    <t xml:space="preserve">Bảo hiểm phần doanh nghiệp, đồng</t>
  </si>
  <si>
    <t xml:space="preserve">Chi phí doanh nghiệp, đồng</t>
  </si>
  <si>
    <t xml:space="preserve">Phần chia theo đóng góp, đồng</t>
  </si>
  <si>
    <t xml:space="preserve">Thu nhập, đồng</t>
  </si>
  <si>
    <t xml:space="preserve">Ký xác nhận</t>
  </si>
  <si>
    <t xml:space="preserve">dat</t>
  </si>
  <si>
    <t xml:space="preserve">Trần Bá Đạt</t>
  </si>
  <si>
    <t xml:space="preserve">Thành viên nhóm</t>
  </si>
  <si>
    <t xml:space="preserve">LEAD</t>
  </si>
  <si>
    <t xml:space="preserve">tuananh</t>
  </si>
  <si>
    <t xml:space="preserve">Phạm Tuấn Anh</t>
  </si>
  <si>
    <t xml:space="preserve">BACKEND</t>
  </si>
  <si>
    <t xml:space="preserve">minh</t>
  </si>
  <si>
    <t xml:space="preserve">Vũ Đức Minh</t>
  </si>
  <si>
    <t xml:space="preserve">FRONTEND</t>
  </si>
  <si>
    <t xml:space="preserve">toan</t>
  </si>
  <si>
    <t xml:space="preserve">Ninh Đức Toàn</t>
  </si>
  <si>
    <t xml:space="preserve">lien</t>
  </si>
  <si>
    <t xml:space="preserve">Nguyễn Thị Phương Liên</t>
  </si>
  <si>
    <t xml:space="preserve">BAQA</t>
  </si>
  <si>
    <t xml:space="preserve">K</t>
  </si>
  <si>
    <t xml:space="preserve">Nguyễn Hoàng Nam</t>
  </si>
  <si>
    <t xml:space="preserve">Vị trí bổ sung</t>
  </si>
  <si>
    <t xml:space="preserve">SA_BA</t>
  </si>
  <si>
    <t xml:space="preserve">D1</t>
  </si>
  <si>
    <t xml:space="preserve">Lê Quang Huy</t>
  </si>
  <si>
    <t xml:space="preserve">D2</t>
  </si>
  <si>
    <t xml:space="preserve">Đỗ Minh Quân</t>
  </si>
  <si>
    <t xml:space="preserve">D3</t>
  </si>
  <si>
    <t xml:space="preserve">Bùi Anh Tuấn</t>
  </si>
  <si>
    <t xml:space="preserve">Q1</t>
  </si>
  <si>
    <t xml:space="preserve">Trần Thu Hà</t>
  </si>
  <si>
    <t xml:space="preserve">TESTER</t>
  </si>
  <si>
    <t xml:space="preserve">Q2</t>
  </si>
  <si>
    <t xml:space="preserve">Phạm Ngọc Anh</t>
  </si>
  <si>
    <t xml:space="preserve">D4</t>
  </si>
  <si>
    <t xml:space="preserve">Trương Quốc Việt</t>
  </si>
  <si>
    <t xml:space="preserve">Tổng cộng</t>
  </si>
  <si>
    <t xml:space="preserve">Ô chênh lệch tô màu khi MD thực tế lệch quá 10% so với kế hoạch. Ngày tính lương theo cách trả lương ở sheet Tham_so.</t>
  </si>
  <si>
    <t xml:space="preserve">MD S1</t>
  </si>
  <si>
    <t xml:space="preserve">MD S2</t>
  </si>
  <si>
    <t xml:space="preserve">MD S3</t>
  </si>
  <si>
    <t xml:space="preserve">MD S4</t>
  </si>
  <si>
    <t xml:space="preserve">MD S5</t>
  </si>
  <si>
    <t xml:space="preserve">MD S6</t>
  </si>
  <si>
    <t xml:space="preserve">MD S7</t>
  </si>
  <si>
    <t xml:space="preserve">MD S8</t>
  </si>
  <si>
    <t xml:space="preserve">MD S9</t>
  </si>
  <si>
    <t xml:space="preserve">MD KT</t>
  </si>
  <si>
    <t xml:space="preserve">Tổng MD</t>
  </si>
  <si>
    <t xml:space="preserve">Lương S1</t>
  </si>
  <si>
    <t xml:space="preserve">Lương S2</t>
  </si>
  <si>
    <t xml:space="preserve">Lương S3</t>
  </si>
  <si>
    <t xml:space="preserve">Lương S4</t>
  </si>
  <si>
    <t xml:space="preserve">Lương S5</t>
  </si>
  <si>
    <t xml:space="preserve">Lương S6</t>
  </si>
  <si>
    <t xml:space="preserve">Lương S7</t>
  </si>
  <si>
    <t xml:space="preserve">Lương S8</t>
  </si>
  <si>
    <t xml:space="preserve">Lương S9</t>
  </si>
  <si>
    <t xml:space="preserve">Lương KT</t>
  </si>
  <si>
    <t xml:space="preserve">Tổng lương</t>
  </si>
  <si>
    <t xml:space="preserve">Chỉ tiêu</t>
  </si>
  <si>
    <t xml:space="preserve">Giá trị</t>
  </si>
  <si>
    <t xml:space="preserve">Ghi chú</t>
  </si>
  <si>
    <t xml:space="preserve">Khoản A của cost estimate (chi phí nhân công theo đơn giá trọn gói), đồng</t>
  </si>
  <si>
    <t xml:space="preserve">du_lieu/chi_phi.json</t>
  </si>
  <si>
    <t xml:space="preserve">Chi phí lương kế hoạch cả dự án trong cost estimate (cùng cách trả lương), đồng</t>
  </si>
  <si>
    <t xml:space="preserve">du_lieu/chi_phi.json tong_chi_phi_nguoi</t>
  </si>
  <si>
    <t xml:space="preserve">Tổng MD kế hoạch (master schedule)</t>
  </si>
  <si>
    <t xml:space="preserve">Tổng MD huy động đến ngày tính</t>
  </si>
  <si>
    <t xml:space="preserve">Sheet Huy_dong</t>
  </si>
  <si>
    <t xml:space="preserve">Tổng MD thực tế (nhật ký)</t>
  </si>
  <si>
    <t xml:space="preserve">MD huy động trừ MD thực tế</t>
  </si>
  <si>
    <t xml:space="preserve">Tỷ lệ sử dụng nhân lực huy động</t>
  </si>
  <si>
    <t xml:space="preserve">MD thực tế trên MD huy động</t>
  </si>
  <si>
    <t xml:space="preserve">Tổng lương theo cách trả lương, đồng</t>
  </si>
  <si>
    <t xml:space="preserve">trả theo công sức (MD công việc)</t>
  </si>
  <si>
    <t xml:space="preserve">Lương nhân hệ số bảo hiểm</t>
  </si>
  <si>
    <t xml:space="preserve">Chỉ khi cách trả lương là ket_hop</t>
  </si>
  <si>
    <t xml:space="preserve">Chi phí doanh nghiệp theo MD công việc kế hoạch (tham khảo), đồng</t>
  </si>
  <si>
    <t xml:space="preserve">Chênh lệch chi phí doanh nghiệp so với chi phí lương kế hoạch của cost estimate, đồng</t>
  </si>
  <si>
    <t xml:space="preserve">Tính đến hết dự án: bằng 0 khi trả theo huy động, là chênh lệch MD thực tế so với MD giao khi trả theo công sức</t>
  </si>
  <si>
    <t xml:space="preserve">Tỷ lệ chi phí doanh nghiệp và phần chia trên khoản A</t>
  </si>
  <si>
    <t xml:space="preserve">Phần còn lại của A bù chi phí quản lý và lợi nhuận</t>
  </si>
  <si>
    <t xml:space="preserve">Tên vai trò</t>
  </si>
  <si>
    <t xml:space="preserve">Lương tham chiếu tháng, đồng</t>
  </si>
  <si>
    <t xml:space="preserve">Trưởng nhóm, kiến trúc sư</t>
  </si>
  <si>
    <t xml:space="preserve">Kỹ sư backend</t>
  </si>
  <si>
    <t xml:space="preserve">Kỹ sư frontend</t>
  </si>
  <si>
    <t xml:space="preserve">Phân tích nghiệp vụ, kiểm thử</t>
  </si>
  <si>
    <t xml:space="preserve">Kiến trúc sư kiêm phân tích nghiệp vụ</t>
  </si>
  <si>
    <t xml:space="preserve">Kỹ sư kiểm thử</t>
  </si>
  <si>
    <t xml:space="preserve">Hệ số bảo hiểm</t>
  </si>
  <si>
    <t xml:space="preserve">Ngày làm việc mỗi tháng</t>
  </si>
  <si>
    <t xml:space="preserve">Cách trả lương</t>
  </si>
  <si>
    <t xml:space="preserve">cong_suc</t>
  </si>
  <si>
    <t xml:space="preserve">Quỹ chia theo đóng góp, đồng</t>
  </si>
  <si>
    <t xml:space="preserve">Nguồn lương tham chiếu: Mức trung vị theo vị trí, báo cáo lương ITviec 2025-2026, riêng mức của kiến trúc sư kiêm phân tích nghiệp vụ và kỹ sư kiểm thử do nhóm xác định trong bảng quyết toán lương</t>
  </si>
  <si>
    <t xml:space="preserve">Nguồn hệ số bảo hiểm: Lương cộng bảo hiểm xã hội, bảo hiểm y tế, bảo hiểm thất nghiệp và kinh phí công đoàn phần doanh nghiệp đóng</t>
  </si>
  <si>
    <t xml:space="preserve">Sprint</t>
  </si>
  <si>
    <t xml:space="preserve">Từ ngày</t>
  </si>
  <si>
    <t xml:space="preserve">Đến ngày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</si>
  <si>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</si>
  <si>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</si>
  <si>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</si>
  <si>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</si>
  <si>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</si>
  <si>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</si>
  <si>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</si>
  <si>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</si>
  <si>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</si>
  <si>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KT</t>
  </si>
  <si>
    <t xml:space="preserve">Ngày</t>
  </si>
  <si>
    <t xml:space="preserve">Mã gói WBS</t>
  </si>
  <si>
    <t xml:space="preserve">MD</t>
  </si>
  <si>
    <t xml:space="preserve">4.3.1</t>
  </si>
  <si>
    <t xml:space="preserve">4.2.1</t>
  </si>
  <si>
    <t xml:space="preserve">1.1.1</t>
  </si>
  <si>
    <t xml:space="preserve">1.1.2</t>
  </si>
  <si>
    <t xml:space="preserve">1.1.3</t>
  </si>
  <si>
    <t xml:space="preserve">3.2.1</t>
  </si>
  <si>
    <t xml:space="preserve">2.2.3</t>
  </si>
  <si>
    <t xml:space="preserve">1.1.4</t>
  </si>
  <si>
    <t xml:space="preserve">2.1.2</t>
  </si>
  <si>
    <t xml:space="preserve">2.1.3</t>
  </si>
  <si>
    <t xml:space="preserve">2.1.4</t>
  </si>
  <si>
    <t xml:space="preserve">3.1.3</t>
  </si>
  <si>
    <t xml:space="preserve">3.1.4</t>
  </si>
  <si>
    <t xml:space="preserve">4.3.3</t>
  </si>
  <si>
    <t xml:space="preserve">4.3.4</t>
  </si>
  <si>
    <t xml:space="preserve">1.2.1</t>
  </si>
  <si>
    <t xml:space="preserve">3.2.2</t>
  </si>
  <si>
    <t xml:space="preserve">4.2.2</t>
  </si>
  <si>
    <t xml:space="preserve">3.1.5</t>
  </si>
  <si>
    <t xml:space="preserve">2.2.1</t>
  </si>
  <si>
    <t xml:space="preserve">3.1.1</t>
  </si>
  <si>
    <t xml:space="preserve">4.1.1</t>
  </si>
  <si>
    <t xml:space="preserve">3.2.7</t>
  </si>
  <si>
    <t xml:space="preserve">3.2.4</t>
  </si>
  <si>
    <t xml:space="preserve">1.5.1</t>
  </si>
  <si>
    <t xml:space="preserve">2.2.4</t>
  </si>
  <si>
    <t xml:space="preserve">1.2.2</t>
  </si>
  <si>
    <t xml:space="preserve">4.2.3</t>
  </si>
  <si>
    <t xml:space="preserve">4.1.2</t>
  </si>
  <si>
    <t xml:space="preserve">2.1.1</t>
  </si>
  <si>
    <t xml:space="preserve">1.2.3</t>
  </si>
  <si>
    <t xml:space="preserve">1.2.5</t>
  </si>
  <si>
    <t xml:space="preserve">2.2.5</t>
  </si>
  <si>
    <t xml:space="preserve">3.2.10</t>
  </si>
  <si>
    <t xml:space="preserve">3.1.2</t>
  </si>
  <si>
    <t xml:space="preserve">1.2.4</t>
  </si>
  <si>
    <t xml:space="preserve">4.2.4</t>
  </si>
  <si>
    <t xml:space="preserve">4.3.2</t>
  </si>
  <si>
    <t xml:space="preserve">4.1.3</t>
  </si>
  <si>
    <t xml:space="preserve">3.2.6</t>
  </si>
  <si>
    <t xml:space="preserve">2.2.7</t>
  </si>
  <si>
    <t xml:space="preserve">3.3.3</t>
  </si>
  <si>
    <t xml:space="preserve">3.2.8</t>
  </si>
  <si>
    <t xml:space="preserve">4.2.5</t>
  </si>
  <si>
    <t xml:space="preserve">3.3.9</t>
  </si>
  <si>
    <t xml:space="preserve">1.2.7</t>
  </si>
  <si>
    <t xml:space="preserve">3.3.4</t>
  </si>
  <si>
    <t xml:space="preserve">1.2.6</t>
  </si>
  <si>
    <t xml:space="preserve">2.2.6</t>
  </si>
  <si>
    <t xml:space="preserve">3.4.1</t>
  </si>
  <si>
    <t xml:space="preserve">3.2.11</t>
  </si>
  <si>
    <t xml:space="preserve">2.3.6</t>
  </si>
  <si>
    <t xml:space="preserve">3.2.9</t>
  </si>
  <si>
    <t xml:space="preserve">3.3.5</t>
  </si>
  <si>
    <t xml:space="preserve">3.2.3</t>
  </si>
  <si>
    <t xml:space="preserve">2.3.2</t>
  </si>
  <si>
    <t xml:space="preserve">2.3.3</t>
  </si>
  <si>
    <t xml:space="preserve">2.4.1</t>
  </si>
  <si>
    <t xml:space="preserve">1.3.1</t>
  </si>
  <si>
    <t xml:space="preserve">2.2.2</t>
  </si>
  <si>
    <t xml:space="preserve">1.2.8</t>
  </si>
  <si>
    <t xml:space="preserve">2.3.1</t>
  </si>
  <si>
    <t xml:space="preserve">2.2.8</t>
  </si>
  <si>
    <t xml:space="preserve">3.3.10</t>
  </si>
  <si>
    <t xml:space="preserve">3.3.1</t>
  </si>
  <si>
    <t xml:space="preserve">4.4.2</t>
  </si>
  <si>
    <t xml:space="preserve">3.2.5</t>
  </si>
  <si>
    <t xml:space="preserve">3.3.8</t>
  </si>
  <si>
    <t xml:space="preserve">3.3.7</t>
  </si>
  <si>
    <t xml:space="preserve">4.2.7</t>
  </si>
  <si>
    <t xml:space="preserve">3.3.6</t>
  </si>
  <si>
    <t xml:space="preserve">1.3.3</t>
  </si>
  <si>
    <t xml:space="preserve">3.4.3</t>
  </si>
  <si>
    <t xml:space="preserve">1.3.6</t>
  </si>
  <si>
    <t xml:space="preserve">2.4.5</t>
  </si>
  <si>
    <t xml:space="preserve">4.4.1</t>
  </si>
  <si>
    <t xml:space="preserve">1.4.1</t>
  </si>
  <si>
    <t xml:space="preserve">1.3.2</t>
  </si>
  <si>
    <t xml:space="preserve">3.3.2</t>
  </si>
  <si>
    <t xml:space="preserve">4.2.6</t>
  </si>
  <si>
    <t xml:space="preserve">1.3.4</t>
  </si>
  <si>
    <t xml:space="preserve">2.4.8</t>
  </si>
  <si>
    <t xml:space="preserve">4.3.9</t>
  </si>
  <si>
    <t xml:space="preserve">4.3.7</t>
  </si>
  <si>
    <t xml:space="preserve">4.3.6</t>
  </si>
  <si>
    <t xml:space="preserve">3.4.4</t>
  </si>
  <si>
    <t xml:space="preserve">4.3.5</t>
  </si>
  <si>
    <t xml:space="preserve">3.1.6</t>
  </si>
  <si>
    <t xml:space="preserve">2.3.4</t>
  </si>
  <si>
    <t xml:space="preserve">4.3.8</t>
  </si>
  <si>
    <t xml:space="preserve">1.3.7</t>
  </si>
  <si>
    <t xml:space="preserve">2.3.7</t>
  </si>
  <si>
    <t xml:space="preserve">3.4.2</t>
  </si>
  <si>
    <t xml:space="preserve">1.3.5</t>
  </si>
  <si>
    <t xml:space="preserve">1.4.2</t>
  </si>
  <si>
    <t xml:space="preserve">2.4.2</t>
  </si>
  <si>
    <t xml:space="preserve">4.5.1</t>
  </si>
  <si>
    <t xml:space="preserve">2.3.5</t>
  </si>
  <si>
    <t xml:space="preserve">5.1.1</t>
  </si>
  <si>
    <t xml:space="preserve">1.3.8</t>
  </si>
  <si>
    <t xml:space="preserve">4.3.10</t>
  </si>
  <si>
    <t xml:space="preserve">3.3.11</t>
  </si>
  <si>
    <t xml:space="preserve">4.4.3</t>
  </si>
  <si>
    <t xml:space="preserve">3.4.6</t>
  </si>
  <si>
    <t xml:space="preserve">1.4.4</t>
  </si>
  <si>
    <t xml:space="preserve">4.5.5</t>
  </si>
  <si>
    <t xml:space="preserve">5.2.1</t>
  </si>
  <si>
    <t xml:space="preserve">3.4.10</t>
  </si>
  <si>
    <t xml:space="preserve">3.4.7</t>
  </si>
  <si>
    <t xml:space="preserve">1.4.5</t>
  </si>
  <si>
    <t xml:space="preserve">3.4.5</t>
  </si>
  <si>
    <t xml:space="preserve">2.4.3</t>
  </si>
  <si>
    <t xml:space="preserve">5.2.3</t>
  </si>
  <si>
    <t xml:space="preserve">5.2.2</t>
  </si>
  <si>
    <t xml:space="preserve">1.4.8</t>
  </si>
  <si>
    <t xml:space="preserve">2.4.6</t>
  </si>
  <si>
    <t xml:space="preserve">4.5.2</t>
  </si>
  <si>
    <t xml:space="preserve">1.4.3</t>
  </si>
  <si>
    <t xml:space="preserve">4.4.4</t>
  </si>
  <si>
    <t xml:space="preserve">2.5.1</t>
  </si>
  <si>
    <t xml:space="preserve">5.3.1</t>
  </si>
  <si>
    <t xml:space="preserve">2.4.10</t>
  </si>
  <si>
    <t xml:space="preserve">5.4.1</t>
  </si>
  <si>
    <t xml:space="preserve">5.2.4</t>
  </si>
  <si>
    <t xml:space="preserve">5.3.4</t>
  </si>
  <si>
    <t xml:space="preserve">5.3.2</t>
  </si>
  <si>
    <t xml:space="preserve">5.3.3</t>
  </si>
  <si>
    <t xml:space="preserve">3.5.1</t>
  </si>
  <si>
    <t xml:space="preserve">4.5.3</t>
  </si>
  <si>
    <t xml:space="preserve">3.4.12</t>
  </si>
  <si>
    <t xml:space="preserve">2.4.9</t>
  </si>
  <si>
    <t xml:space="preserve">4.5.4</t>
  </si>
  <si>
    <t xml:space="preserve">5.3.7</t>
  </si>
  <si>
    <t xml:space="preserve">5.3.5</t>
  </si>
  <si>
    <t xml:space="preserve">4.4.8</t>
  </si>
  <si>
    <t xml:space="preserve">5.3.6</t>
  </si>
  <si>
    <t xml:space="preserve">3.4.11</t>
  </si>
  <si>
    <t xml:space="preserve">2.4.4</t>
  </si>
  <si>
    <t xml:space="preserve">3.5.2</t>
  </si>
  <si>
    <t xml:space="preserve">5.5.2</t>
  </si>
  <si>
    <t xml:space="preserve">1.4.6</t>
  </si>
  <si>
    <t xml:space="preserve">5.4.2</t>
  </si>
  <si>
    <t xml:space="preserve">3.4.8</t>
  </si>
  <si>
    <t xml:space="preserve">2.4.7</t>
  </si>
  <si>
    <t xml:space="preserve">5.4.3</t>
  </si>
  <si>
    <t xml:space="preserve">3.5.3</t>
  </si>
  <si>
    <t xml:space="preserve">4.4.6</t>
  </si>
  <si>
    <t xml:space="preserve">1.4.9</t>
  </si>
  <si>
    <t xml:space="preserve">1.4.7</t>
  </si>
  <si>
    <t xml:space="preserve">4.4.5</t>
  </si>
  <si>
    <t xml:space="preserve">2.5.2</t>
  </si>
  <si>
    <t xml:space="preserve">5.4.4</t>
  </si>
  <si>
    <t xml:space="preserve">3.4.9</t>
  </si>
  <si>
    <t xml:space="preserve">5.5.3</t>
  </si>
  <si>
    <t xml:space="preserve">4.5.6</t>
  </si>
  <si>
    <t xml:space="preserve">3.2.12</t>
  </si>
  <si>
    <t xml:space="preserve">1.4.12</t>
  </si>
  <si>
    <t xml:space="preserve">3.4.14</t>
  </si>
  <si>
    <t xml:space="preserve">5.4.5</t>
  </si>
  <si>
    <t xml:space="preserve">4.4.9</t>
  </si>
  <si>
    <t xml:space="preserve">1.4.11</t>
  </si>
  <si>
    <t xml:space="preserve">3.4.13</t>
  </si>
  <si>
    <t xml:space="preserve">4.4.7</t>
  </si>
  <si>
    <t xml:space="preserve">2.4.12</t>
  </si>
  <si>
    <t xml:space="preserve">2.4.11</t>
  </si>
  <si>
    <t xml:space="preserve">2.4.13</t>
  </si>
  <si>
    <t xml:space="preserve">5.5.1</t>
  </si>
  <si>
    <t xml:space="preserve">1.4.10</t>
  </si>
  <si>
    <t xml:space="preserve">1.5.3</t>
  </si>
  <si>
    <t xml:space="preserve">1.5.2</t>
  </si>
  <si>
    <t xml:space="preserve">2.5.3</t>
  </si>
  <si>
    <t xml:space="preserve">3.5.4</t>
  </si>
  <si>
    <t xml:space="preserve">1.1.5</t>
  </si>
  <si>
    <t xml:space="preserve">MD huy động đến ngày tính</t>
  </si>
  <si>
    <t xml:space="preserve">Theo kế hoạch</t>
  </si>
  <si>
    <t xml:space="preserve">Huy động bổ sung</t>
  </si>
  <si>
    <t xml:space="preserve">Nguồn: kế hoạch huy động của master schedule (phan_bo quỹ theo sprint), sprint đang chạy tính theo tỷ lệ ngày làm việc đã qua; huy động bổ sung theo sổ huy động bổ sung thực tế (dau_vao/thuc_te/huy_dong_bo_sung.json).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</si>
</sst>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0.0%;\(0.0%\);\-"/>
    <numFmt numFmtId="167" formatCode="#,##0;\(#,##0\);\-"/>
    <numFmt numFmtId="168" formatCode="0.000"/>
    <numFmt numFmtId="169" formatCode="0"/>
    <numFmt numFmtId="170" formatCode="dd/mm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color rgb="FF0000FF"/>
      <name val="Times New Roman"/>
      <family val="0"/>
      <charset val="1"/>
    </font>
    <font>
      <sz val="11"/>
      <color rgb="FF008000"/>
      <name val="Times New Roman"/>
      <family val="0"/>
      <charset val="1"/>
    </font>
    <font>
      <i val="true"/>
      <sz val="10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8" min="6" style="0" width="10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6" min="15" style="0" width="18"/>
    <col collapsed="false" customWidth="true" hidden="false" outlineLevel="0" max="19" min="17" style="0" width="16"/>
  </cols>
  <sheetData>
    <row r="1" customFormat="false" ht="36.9" hidden="false" customHeight="false" outlineLevel="0" collapsed="false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35</v>
      </c>
      <c r="S1" s="4" t="s">
        <v>36</v>
      </c>
    </row>
    <row r="2" customFormat="false" ht="15" hidden="false" customHeight="false" outlineLevel="0" collapsed="false">
      <c r="A2" s="5" t="n">
        <v>1</v>
      </c>
      <c r="B2" s="6" t="s">
        <v>37</v>
      </c>
      <c r="C2" s="6" t="s">
        <v>38</v>
      </c>
      <c r="D2" s="6" t="s">
        <v>39</v>
      </c>
      <c r="E2" s="6" t="s">
        <v>40</v>
      </c>
      <c r="F2" s="7" t="n">
        <v>66.33</v>
      </c>
      <c r="G2" s="8" t="n">
        <f aca="false">SUMIFS(Huy_dong!$C$2:$C$100,Huy_dong!$A$2:$A$100,B2)</f>
        <v>86</v>
      </c>
      <c r="H2" s="8" t="n">
        <f aca="false">SUMIFS(Nhat_ky!$E$2:$E$989,Nhat_ky!$C$2:$C$989,B2)</f>
        <v>67.25</v>
      </c>
      <c r="I2" s="9" t="n">
        <f aca="false">G2-H2</f>
        <v>18.75</v>
      </c>
      <c r="J2" s="9" t="n">
        <f aca="false">H2-F2</f>
        <v>0.920000000000002</v>
      </c>
      <c r="K2" s="10" t="n">
        <f aca="false">IF($H$14=0,0,H2/$H$14)</f>
        <v>0.0912792670512386</v>
      </c>
      <c r="L2" s="11" t="n">
        <f aca="false">INDEX(Tham_so!$D$2:$D$7,MATCH(E2,Tham_so!$A$2:$A$7,0))</f>
        <v>2318181.81818182</v>
      </c>
      <c r="M2" s="9" t="n">
        <f aca="false">IF(Tham_so!$B$11="cong_suc",H2,G2)</f>
        <v>67.25</v>
      </c>
      <c r="N2" s="12" t="n">
        <f aca="false">M2*L2</f>
        <v>155897727.272727</v>
      </c>
      <c r="O2" s="12" t="n">
        <f aca="false">N2*(Tham_so!$B$9-1)</f>
        <v>36635965.9090909</v>
      </c>
      <c r="P2" s="12" t="n">
        <f aca="false">N2+O2</f>
        <v>192533693.181818</v>
      </c>
      <c r="Q2" s="12" t="n">
        <f aca="false">IF(Tham_so!$B$11="ket_hop",Tham_so!$B$12*K2,0)</f>
        <v>0</v>
      </c>
      <c r="R2" s="12" t="n">
        <f aca="false">N2+Q2</f>
        <v>155897727.272727</v>
      </c>
      <c r="S2" s="5"/>
    </row>
    <row r="3" customFormat="false" ht="15" hidden="false" customHeight="false" outlineLevel="0" collapsed="false">
      <c r="A3" s="5" t="n">
        <v>2</v>
      </c>
      <c r="B3" s="6" t="s">
        <v>41</v>
      </c>
      <c r="C3" s="6" t="s">
        <v>42</v>
      </c>
      <c r="D3" s="6" t="s">
        <v>39</v>
      </c>
      <c r="E3" s="6" t="s">
        <v>43</v>
      </c>
      <c r="F3" s="7" t="n">
        <v>50</v>
      </c>
      <c r="G3" s="8" t="n">
        <f aca="false">SUMIFS(Huy_dong!$C$2:$C$100,Huy_dong!$A$2:$A$100,B3)</f>
        <v>70.5</v>
      </c>
      <c r="H3" s="8" t="n">
        <f aca="false">SUMIFS(Nhat_ky!$E$2:$E$989,Nhat_ky!$C$2:$C$989,B3)</f>
        <v>50.25</v>
      </c>
      <c r="I3" s="9" t="n">
        <f aca="false">G3-H3</f>
        <v>20.25</v>
      </c>
      <c r="J3" s="9" t="n">
        <f aca="false">H3-F3</f>
        <v>0.25</v>
      </c>
      <c r="K3" s="10" t="n">
        <f aca="false">IF($H$14=0,0,H3/$H$14)</f>
        <v>0.0682049541907024</v>
      </c>
      <c r="L3" s="11" t="n">
        <f aca="false">INDEX(Tham_so!$D$2:$D$7,MATCH(E3,Tham_so!$A$2:$A$7,0))</f>
        <v>1363636.36363636</v>
      </c>
      <c r="M3" s="9" t="n">
        <f aca="false">IF(Tham_so!$B$11="cong_suc",H3,G3)</f>
        <v>50.25</v>
      </c>
      <c r="N3" s="12" t="n">
        <f aca="false">M3*L3</f>
        <v>68522727.2727273</v>
      </c>
      <c r="O3" s="12" t="n">
        <f aca="false">N3*(Tham_so!$B$9-1)</f>
        <v>16102840.9090909</v>
      </c>
      <c r="P3" s="12" t="n">
        <f aca="false">N3+O3</f>
        <v>84625568.1818182</v>
      </c>
      <c r="Q3" s="12" t="n">
        <f aca="false">IF(Tham_so!$B$11="ket_hop",Tham_so!$B$12*K3,0)</f>
        <v>0</v>
      </c>
      <c r="R3" s="12" t="n">
        <f aca="false">N3+Q3</f>
        <v>68522727.2727273</v>
      </c>
      <c r="S3" s="5"/>
    </row>
    <row r="4" customFormat="false" ht="15" hidden="false" customHeight="false" outlineLevel="0" collapsed="false">
      <c r="A4" s="5" t="n">
        <v>3</v>
      </c>
      <c r="B4" s="6" t="s">
        <v>44</v>
      </c>
      <c r="C4" s="6" t="s">
        <v>45</v>
      </c>
      <c r="D4" s="6" t="s">
        <v>39</v>
      </c>
      <c r="E4" s="6" t="s">
        <v>46</v>
      </c>
      <c r="F4" s="7" t="n">
        <v>58</v>
      </c>
      <c r="G4" s="8" t="n">
        <f aca="false">SUMIFS(Huy_dong!$C$2:$C$100,Huy_dong!$A$2:$A$100,B4)</f>
        <v>72</v>
      </c>
      <c r="H4" s="8" t="n">
        <f aca="false">SUMIFS(Nhat_ky!$E$2:$E$989,Nhat_ky!$C$2:$C$989,B4)</f>
        <v>57.5</v>
      </c>
      <c r="I4" s="9" t="n">
        <f aca="false">G4-H4</f>
        <v>14.5</v>
      </c>
      <c r="J4" s="9" t="n">
        <f aca="false">H4-F4</f>
        <v>-0.5</v>
      </c>
      <c r="K4" s="10" t="n">
        <f aca="false">IF($H$14=0,0,H4/$H$14)</f>
        <v>0.0780454699694605</v>
      </c>
      <c r="L4" s="11" t="n">
        <f aca="false">INDEX(Tham_so!$D$2:$D$7,MATCH(E4,Tham_so!$A$2:$A$7,0))</f>
        <v>1272727.27272727</v>
      </c>
      <c r="M4" s="9" t="n">
        <f aca="false">IF(Tham_so!$B$11="cong_suc",H4,G4)</f>
        <v>57.5</v>
      </c>
      <c r="N4" s="12" t="n">
        <f aca="false">M4*L4</f>
        <v>73181818.1818182</v>
      </c>
      <c r="O4" s="12" t="n">
        <f aca="false">N4*(Tham_so!$B$9-1)</f>
        <v>17197727.2727273</v>
      </c>
      <c r="P4" s="12" t="n">
        <f aca="false">N4+O4</f>
        <v>90379545.4545455</v>
      </c>
      <c r="Q4" s="12" t="n">
        <f aca="false">IF(Tham_so!$B$11="ket_hop",Tham_so!$B$12*K4,0)</f>
        <v>0</v>
      </c>
      <c r="R4" s="12" t="n">
        <f aca="false">N4+Q4</f>
        <v>73181818.1818182</v>
      </c>
      <c r="S4" s="5"/>
    </row>
    <row r="5" customFormat="false" ht="15" hidden="false" customHeight="false" outlineLevel="0" collapsed="false">
      <c r="A5" s="5" t="n">
        <v>4</v>
      </c>
      <c r="B5" s="6" t="s">
        <v>47</v>
      </c>
      <c r="C5" s="6" t="s">
        <v>48</v>
      </c>
      <c r="D5" s="6" t="s">
        <v>39</v>
      </c>
      <c r="E5" s="6" t="s">
        <v>43</v>
      </c>
      <c r="F5" s="7" t="n">
        <v>66.5</v>
      </c>
      <c r="G5" s="8" t="n">
        <f aca="false">SUMIFS(Huy_dong!$C$2:$C$100,Huy_dong!$A$2:$A$100,B5)</f>
        <v>76</v>
      </c>
      <c r="H5" s="8" t="n">
        <f aca="false">SUMIFS(Nhat_ky!$E$2:$E$989,Nhat_ky!$C$2:$C$989,B5)</f>
        <v>67.5</v>
      </c>
      <c r="I5" s="9" t="n">
        <f aca="false">G5-H5</f>
        <v>8.5</v>
      </c>
      <c r="J5" s="9" t="n">
        <f aca="false">H5-F5</f>
        <v>1</v>
      </c>
      <c r="K5" s="10" t="n">
        <f aca="false">IF($H$14=0,0,H5/$H$14)</f>
        <v>0.0916185951815405</v>
      </c>
      <c r="L5" s="11" t="n">
        <f aca="false">INDEX(Tham_so!$D$2:$D$7,MATCH(E5,Tham_so!$A$2:$A$7,0))</f>
        <v>1363636.36363636</v>
      </c>
      <c r="M5" s="9" t="n">
        <f aca="false">IF(Tham_so!$B$11="cong_suc",H5,G5)</f>
        <v>67.5</v>
      </c>
      <c r="N5" s="12" t="n">
        <f aca="false">M5*L5</f>
        <v>92045454.5454545</v>
      </c>
      <c r="O5" s="12" t="n">
        <f aca="false">N5*(Tham_so!$B$9-1)</f>
        <v>21630681.8181818</v>
      </c>
      <c r="P5" s="12" t="n">
        <f aca="false">N5+O5</f>
        <v>113676136.363636</v>
      </c>
      <c r="Q5" s="12" t="n">
        <f aca="false">IF(Tham_so!$B$11="ket_hop",Tham_so!$B$12*K5,0)</f>
        <v>0</v>
      </c>
      <c r="R5" s="12" t="n">
        <f aca="false">N5+Q5</f>
        <v>92045454.5454545</v>
      </c>
      <c r="S5" s="5"/>
    </row>
    <row r="6" customFormat="false" ht="15" hidden="false" customHeight="false" outlineLevel="0" collapsed="false">
      <c r="A6" s="5" t="n">
        <v>5</v>
      </c>
      <c r="B6" s="6" t="s">
        <v>49</v>
      </c>
      <c r="C6" s="6" t="s">
        <v>50</v>
      </c>
      <c r="D6" s="6" t="s">
        <v>39</v>
      </c>
      <c r="E6" s="6" t="s">
        <v>51</v>
      </c>
      <c r="F6" s="7" t="n">
        <v>72.5</v>
      </c>
      <c r="G6" s="8" t="n">
        <f aca="false">SUMIFS(Huy_dong!$C$2:$C$100,Huy_dong!$A$2:$A$100,B6)</f>
        <v>84</v>
      </c>
      <c r="H6" s="8" t="n">
        <f aca="false">SUMIFS(Nhat_ky!$E$2:$E$989,Nhat_ky!$C$2:$C$989,B6)</f>
        <v>73.25</v>
      </c>
      <c r="I6" s="9" t="n">
        <f aca="false">G6-H6</f>
        <v>10.75</v>
      </c>
      <c r="J6" s="9" t="n">
        <f aca="false">H6-F6</f>
        <v>0.75</v>
      </c>
      <c r="K6" s="10" t="n">
        <f aca="false">IF($H$14=0,0,H6/$H$14)</f>
        <v>0.0994231421784866</v>
      </c>
      <c r="L6" s="11" t="n">
        <f aca="false">INDEX(Tham_so!$D$2:$D$7,MATCH(E6,Tham_so!$A$2:$A$7,0))</f>
        <v>1227272.72727273</v>
      </c>
      <c r="M6" s="9" t="n">
        <f aca="false">IF(Tham_so!$B$11="cong_suc",H6,G6)</f>
        <v>73.25</v>
      </c>
      <c r="N6" s="12" t="n">
        <f aca="false">M6*L6</f>
        <v>89897727.2727273</v>
      </c>
      <c r="O6" s="12" t="n">
        <f aca="false">N6*(Tham_so!$B$9-1)</f>
        <v>21125965.9090909</v>
      </c>
      <c r="P6" s="12" t="n">
        <f aca="false">N6+O6</f>
        <v>111023693.181818</v>
      </c>
      <c r="Q6" s="12" t="n">
        <f aca="false">IF(Tham_so!$B$11="ket_hop",Tham_so!$B$12*K6,0)</f>
        <v>0</v>
      </c>
      <c r="R6" s="12" t="n">
        <f aca="false">N6+Q6</f>
        <v>89897727.2727273</v>
      </c>
      <c r="S6" s="5"/>
    </row>
    <row r="7" customFormat="false" ht="15" hidden="false" customHeight="false" outlineLevel="0" collapsed="false">
      <c r="A7" s="5" t="n">
        <v>6</v>
      </c>
      <c r="B7" s="6" t="s">
        <v>52</v>
      </c>
      <c r="C7" s="6" t="s">
        <v>53</v>
      </c>
      <c r="D7" s="6" t="s">
        <v>54</v>
      </c>
      <c r="E7" s="6" t="s">
        <v>55</v>
      </c>
      <c r="F7" s="7" t="n">
        <v>70.67</v>
      </c>
      <c r="G7" s="8" t="n">
        <f aca="false">SUMIFS(Huy_dong!$C$2:$C$100,Huy_dong!$A$2:$A$100,B7)</f>
        <v>80</v>
      </c>
      <c r="H7" s="8" t="n">
        <f aca="false">SUMIFS(Nhat_ky!$E$2:$E$989,Nhat_ky!$C$2:$C$989,B7)</f>
        <v>71.75</v>
      </c>
      <c r="I7" s="9" t="n">
        <f aca="false">G7-H7</f>
        <v>8.25</v>
      </c>
      <c r="J7" s="9" t="n">
        <f aca="false">H7-F7</f>
        <v>1.08</v>
      </c>
      <c r="K7" s="10" t="n">
        <f aca="false">IF($H$14=0,0,H7/$H$14)</f>
        <v>0.0973871733966746</v>
      </c>
      <c r="L7" s="11" t="n">
        <f aca="false">INDEX(Tham_so!$D$2:$D$7,MATCH(E7,Tham_so!$A$2:$A$7,0))</f>
        <v>2136363.63636364</v>
      </c>
      <c r="M7" s="9" t="n">
        <f aca="false">IF(Tham_so!$B$11="cong_suc",H7,G7)</f>
        <v>71.75</v>
      </c>
      <c r="N7" s="12" t="n">
        <f aca="false">M7*L7</f>
        <v>153284090.909091</v>
      </c>
      <c r="O7" s="12" t="n">
        <f aca="false">N7*(Tham_so!$B$9-1)</f>
        <v>36021761.3636364</v>
      </c>
      <c r="P7" s="12" t="n">
        <f aca="false">N7+O7</f>
        <v>189305852.272727</v>
      </c>
      <c r="Q7" s="12" t="n">
        <f aca="false">IF(Tham_so!$B$11="ket_hop",Tham_so!$B$12*K7,0)</f>
        <v>0</v>
      </c>
      <c r="R7" s="12" t="n">
        <f aca="false">N7+Q7</f>
        <v>153284090.909091</v>
      </c>
      <c r="S7" s="5"/>
    </row>
    <row r="8" customFormat="false" ht="15" hidden="false" customHeight="false" outlineLevel="0" collapsed="false">
      <c r="A8" s="5" t="n">
        <v>7</v>
      </c>
      <c r="B8" s="6" t="s">
        <v>56</v>
      </c>
      <c r="C8" s="6" t="s">
        <v>57</v>
      </c>
      <c r="D8" s="6" t="s">
        <v>54</v>
      </c>
      <c r="E8" s="6" t="s">
        <v>43</v>
      </c>
      <c r="F8" s="7" t="n">
        <v>67.5</v>
      </c>
      <c r="G8" s="8" t="n">
        <f aca="false">SUMIFS(Huy_dong!$C$2:$C$100,Huy_dong!$A$2:$A$100,B8)</f>
        <v>86</v>
      </c>
      <c r="H8" s="8" t="n">
        <f aca="false">SUMIFS(Nhat_ky!$E$2:$E$989,Nhat_ky!$C$2:$C$989,B8)</f>
        <v>67</v>
      </c>
      <c r="I8" s="9" t="n">
        <f aca="false">G8-H8</f>
        <v>19</v>
      </c>
      <c r="J8" s="9" t="n">
        <f aca="false">H8-F8</f>
        <v>-0.5</v>
      </c>
      <c r="K8" s="10" t="n">
        <f aca="false">IF($H$14=0,0,H8/$H$14)</f>
        <v>0.0909399389209366</v>
      </c>
      <c r="L8" s="11" t="n">
        <f aca="false">INDEX(Tham_so!$D$2:$D$7,MATCH(E8,Tham_so!$A$2:$A$7,0))</f>
        <v>1363636.36363636</v>
      </c>
      <c r="M8" s="9" t="n">
        <f aca="false">IF(Tham_so!$B$11="cong_suc",H8,G8)</f>
        <v>67</v>
      </c>
      <c r="N8" s="12" t="n">
        <f aca="false">M8*L8</f>
        <v>91363636.3636364</v>
      </c>
      <c r="O8" s="12" t="n">
        <f aca="false">N8*(Tham_so!$B$9-1)</f>
        <v>21470454.5454546</v>
      </c>
      <c r="P8" s="12" t="n">
        <f aca="false">N8+O8</f>
        <v>112834090.909091</v>
      </c>
      <c r="Q8" s="12" t="n">
        <f aca="false">IF(Tham_so!$B$11="ket_hop",Tham_so!$B$12*K8,0)</f>
        <v>0</v>
      </c>
      <c r="R8" s="12" t="n">
        <f aca="false">N8+Q8</f>
        <v>91363636.3636364</v>
      </c>
      <c r="S8" s="5"/>
    </row>
    <row r="9" customFormat="false" ht="15" hidden="false" customHeight="false" outlineLevel="0" collapsed="false">
      <c r="A9" s="5" t="n">
        <v>8</v>
      </c>
      <c r="B9" s="6" t="s">
        <v>58</v>
      </c>
      <c r="C9" s="6" t="s">
        <v>59</v>
      </c>
      <c r="D9" s="6" t="s">
        <v>54</v>
      </c>
      <c r="E9" s="6" t="s">
        <v>43</v>
      </c>
      <c r="F9" s="7" t="n">
        <v>64</v>
      </c>
      <c r="G9" s="8" t="n">
        <f aca="false">SUMIFS(Huy_dong!$C$2:$C$100,Huy_dong!$A$2:$A$100,B9)</f>
        <v>78</v>
      </c>
      <c r="H9" s="8" t="n">
        <f aca="false">SUMIFS(Nhat_ky!$E$2:$E$989,Nhat_ky!$C$2:$C$989,B9)</f>
        <v>64.25</v>
      </c>
      <c r="I9" s="9" t="n">
        <f aca="false">G9-H9</f>
        <v>13.75</v>
      </c>
      <c r="J9" s="9" t="n">
        <f aca="false">H9-F9</f>
        <v>0.25</v>
      </c>
      <c r="K9" s="10" t="n">
        <f aca="false">IF($H$14=0,0,H9/$H$14)</f>
        <v>0.0872073294876145</v>
      </c>
      <c r="L9" s="11" t="n">
        <f aca="false">INDEX(Tham_so!$D$2:$D$7,MATCH(E9,Tham_so!$A$2:$A$7,0))</f>
        <v>1363636.36363636</v>
      </c>
      <c r="M9" s="9" t="n">
        <f aca="false">IF(Tham_so!$B$11="cong_suc",H9,G9)</f>
        <v>64.25</v>
      </c>
      <c r="N9" s="12" t="n">
        <f aca="false">M9*L9</f>
        <v>87613636.3636364</v>
      </c>
      <c r="O9" s="12" t="n">
        <f aca="false">N9*(Tham_so!$B$9-1)</f>
        <v>20589204.5454546</v>
      </c>
      <c r="P9" s="12" t="n">
        <f aca="false">N9+O9</f>
        <v>108202840.909091</v>
      </c>
      <c r="Q9" s="12" t="n">
        <f aca="false">IF(Tham_so!$B$11="ket_hop",Tham_so!$B$12*K9,0)</f>
        <v>0</v>
      </c>
      <c r="R9" s="12" t="n">
        <f aca="false">N9+Q9</f>
        <v>87613636.3636364</v>
      </c>
      <c r="S9" s="5"/>
    </row>
    <row r="10" customFormat="false" ht="15" hidden="false" customHeight="false" outlineLevel="0" collapsed="false">
      <c r="A10" s="5" t="n">
        <v>9</v>
      </c>
      <c r="B10" s="6" t="s">
        <v>60</v>
      </c>
      <c r="C10" s="6" t="s">
        <v>61</v>
      </c>
      <c r="D10" s="6" t="s">
        <v>54</v>
      </c>
      <c r="E10" s="6" t="s">
        <v>43</v>
      </c>
      <c r="F10" s="7" t="n">
        <v>59.5</v>
      </c>
      <c r="G10" s="8" t="n">
        <f aca="false">SUMIFS(Huy_dong!$C$2:$C$100,Huy_dong!$A$2:$A$100,B10)</f>
        <v>86</v>
      </c>
      <c r="H10" s="8" t="n">
        <f aca="false">SUMIFS(Nhat_ky!$E$2:$E$989,Nhat_ky!$C$2:$C$989,B10)</f>
        <v>60.25</v>
      </c>
      <c r="I10" s="9" t="n">
        <f aca="false">G10-H10</f>
        <v>25.75</v>
      </c>
      <c r="J10" s="9" t="n">
        <f aca="false">H10-F10</f>
        <v>0.75</v>
      </c>
      <c r="K10" s="10" t="n">
        <f aca="false">IF($H$14=0,0,H10/$H$14)</f>
        <v>0.0817780794027825</v>
      </c>
      <c r="L10" s="11" t="n">
        <f aca="false">INDEX(Tham_so!$D$2:$D$7,MATCH(E10,Tham_so!$A$2:$A$7,0))</f>
        <v>1363636.36363636</v>
      </c>
      <c r="M10" s="9" t="n">
        <f aca="false">IF(Tham_so!$B$11="cong_suc",H10,G10)</f>
        <v>60.25</v>
      </c>
      <c r="N10" s="12" t="n">
        <f aca="false">M10*L10</f>
        <v>82159090.9090909</v>
      </c>
      <c r="O10" s="12" t="n">
        <f aca="false">N10*(Tham_so!$B$9-1)</f>
        <v>19307386.3636364</v>
      </c>
      <c r="P10" s="12" t="n">
        <f aca="false">N10+O10</f>
        <v>101466477.272727</v>
      </c>
      <c r="Q10" s="12" t="n">
        <f aca="false">IF(Tham_so!$B$11="ket_hop",Tham_so!$B$12*K10,0)</f>
        <v>0</v>
      </c>
      <c r="R10" s="12" t="n">
        <f aca="false">N10+Q10</f>
        <v>82159090.9090909</v>
      </c>
      <c r="S10" s="5"/>
    </row>
    <row r="11" customFormat="false" ht="15" hidden="false" customHeight="false" outlineLevel="0" collapsed="false">
      <c r="A11" s="5" t="n">
        <v>10</v>
      </c>
      <c r="B11" s="6" t="s">
        <v>62</v>
      </c>
      <c r="C11" s="6" t="s">
        <v>63</v>
      </c>
      <c r="D11" s="6" t="s">
        <v>54</v>
      </c>
      <c r="E11" s="6" t="s">
        <v>64</v>
      </c>
      <c r="F11" s="7" t="n">
        <v>49.5</v>
      </c>
      <c r="G11" s="8" t="n">
        <f aca="false">SUMIFS(Huy_dong!$C$2:$C$100,Huy_dong!$A$2:$A$100,B11)</f>
        <v>72</v>
      </c>
      <c r="H11" s="8" t="n">
        <f aca="false">SUMIFS(Nhat_ky!$E$2:$E$989,Nhat_ky!$C$2:$C$989,B11)</f>
        <v>49.75</v>
      </c>
      <c r="I11" s="9" t="n">
        <f aca="false">G11-H11</f>
        <v>22.25</v>
      </c>
      <c r="J11" s="9" t="n">
        <f aca="false">H11-F11</f>
        <v>0.25</v>
      </c>
      <c r="K11" s="10" t="n">
        <f aca="false">IF($H$14=0,0,H11/$H$14)</f>
        <v>0.0675262979300984</v>
      </c>
      <c r="L11" s="11" t="n">
        <f aca="false">INDEX(Tham_so!$D$2:$D$7,MATCH(E11,Tham_so!$A$2:$A$7,0))</f>
        <v>1090909.09090909</v>
      </c>
      <c r="M11" s="9" t="n">
        <f aca="false">IF(Tham_so!$B$11="cong_suc",H11,G11)</f>
        <v>49.75</v>
      </c>
      <c r="N11" s="12" t="n">
        <f aca="false">M11*L11</f>
        <v>54272727.2727273</v>
      </c>
      <c r="O11" s="12" t="n">
        <f aca="false">N11*(Tham_so!$B$9-1)</f>
        <v>12754090.9090909</v>
      </c>
      <c r="P11" s="12" t="n">
        <f aca="false">N11+O11</f>
        <v>67026818.1818182</v>
      </c>
      <c r="Q11" s="12" t="n">
        <f aca="false">IF(Tham_so!$B$11="ket_hop",Tham_so!$B$12*K11,0)</f>
        <v>0</v>
      </c>
      <c r="R11" s="12" t="n">
        <f aca="false">N11+Q11</f>
        <v>54272727.2727273</v>
      </c>
      <c r="S11" s="5"/>
    </row>
    <row r="12" customFormat="false" ht="15" hidden="false" customHeight="false" outlineLevel="0" collapsed="false">
      <c r="A12" s="5" t="n">
        <v>11</v>
      </c>
      <c r="B12" s="6" t="s">
        <v>65</v>
      </c>
      <c r="C12" s="6" t="s">
        <v>66</v>
      </c>
      <c r="D12" s="6" t="s">
        <v>54</v>
      </c>
      <c r="E12" s="6" t="s">
        <v>64</v>
      </c>
      <c r="F12" s="7" t="n">
        <v>50</v>
      </c>
      <c r="G12" s="8" t="n">
        <f aca="false">SUMIFS(Huy_dong!$C$2:$C$100,Huy_dong!$A$2:$A$100,B12)</f>
        <v>66</v>
      </c>
      <c r="H12" s="8" t="n">
        <f aca="false">SUMIFS(Nhat_ky!$E$2:$E$989,Nhat_ky!$C$2:$C$989,B12)</f>
        <v>49.25</v>
      </c>
      <c r="I12" s="9" t="n">
        <f aca="false">G12-H12</f>
        <v>16.75</v>
      </c>
      <c r="J12" s="9" t="n">
        <f aca="false">H12-F12</f>
        <v>-0.75</v>
      </c>
      <c r="K12" s="10" t="n">
        <f aca="false">IF($H$14=0,0,H12/$H$14)</f>
        <v>0.0668476416694944</v>
      </c>
      <c r="L12" s="11" t="n">
        <f aca="false">INDEX(Tham_so!$D$2:$D$7,MATCH(E12,Tham_so!$A$2:$A$7,0))</f>
        <v>1090909.09090909</v>
      </c>
      <c r="M12" s="9" t="n">
        <f aca="false">IF(Tham_so!$B$11="cong_suc",H12,G12)</f>
        <v>49.25</v>
      </c>
      <c r="N12" s="12" t="n">
        <f aca="false">M12*L12</f>
        <v>53727272.7272727</v>
      </c>
      <c r="O12" s="12" t="n">
        <f aca="false">N12*(Tham_so!$B$9-1)</f>
        <v>12625909.0909091</v>
      </c>
      <c r="P12" s="12" t="n">
        <f aca="false">N12+O12</f>
        <v>66353181.8181818</v>
      </c>
      <c r="Q12" s="12" t="n">
        <f aca="false">IF(Tham_so!$B$11="ket_hop",Tham_so!$B$12*K12,0)</f>
        <v>0</v>
      </c>
      <c r="R12" s="12" t="n">
        <f aca="false">N12+Q12</f>
        <v>53727272.7272727</v>
      </c>
      <c r="S12" s="5"/>
    </row>
    <row r="13" customFormat="false" ht="15" hidden="false" customHeight="false" outlineLevel="0" collapsed="false">
      <c r="A13" s="5" t="n">
        <v>12</v>
      </c>
      <c r="B13" s="6" t="s">
        <v>67</v>
      </c>
      <c r="C13" s="6" t="s">
        <v>68</v>
      </c>
      <c r="D13" s="6" t="s">
        <v>54</v>
      </c>
      <c r="E13" s="6" t="s">
        <v>43</v>
      </c>
      <c r="F13" s="7" t="n">
        <v>58.5</v>
      </c>
      <c r="G13" s="8" t="n">
        <f aca="false">SUMIFS(Huy_dong!$C$2:$C$100,Huy_dong!$A$2:$A$100,B13)</f>
        <v>64.5</v>
      </c>
      <c r="H13" s="8" t="n">
        <f aca="false">SUMIFS(Nhat_ky!$E$2:$E$989,Nhat_ky!$C$2:$C$989,B13)</f>
        <v>58.75</v>
      </c>
      <c r="I13" s="9" t="n">
        <f aca="false">G13-H13</f>
        <v>5.75</v>
      </c>
      <c r="J13" s="9" t="n">
        <f aca="false">H13-F13</f>
        <v>0.25</v>
      </c>
      <c r="K13" s="10" t="n">
        <f aca="false">IF($H$14=0,0,H13/$H$14)</f>
        <v>0.0797421106209705</v>
      </c>
      <c r="L13" s="11" t="n">
        <f aca="false">INDEX(Tham_so!$D$2:$D$7,MATCH(E13,Tham_so!$A$2:$A$7,0))</f>
        <v>1363636.36363636</v>
      </c>
      <c r="M13" s="9" t="n">
        <f aca="false">IF(Tham_so!$B$11="cong_suc",H13,G13)</f>
        <v>58.75</v>
      </c>
      <c r="N13" s="12" t="n">
        <f aca="false">M13*L13</f>
        <v>80113636.3636364</v>
      </c>
      <c r="O13" s="12" t="n">
        <f aca="false">N13*(Tham_so!$B$9-1)</f>
        <v>18826704.5454546</v>
      </c>
      <c r="P13" s="12" t="n">
        <f aca="false">N13+O13</f>
        <v>98940340.9090909</v>
      </c>
      <c r="Q13" s="12" t="n">
        <f aca="false">IF(Tham_so!$B$11="ket_hop",Tham_so!$B$12*K13,0)</f>
        <v>0</v>
      </c>
      <c r="R13" s="12" t="n">
        <f aca="false">N13+Q13</f>
        <v>80113636.3636364</v>
      </c>
      <c r="S13" s="5"/>
    </row>
    <row r="14" customFormat="false" ht="15" hidden="false" customHeight="false" outlineLevel="0" collapsed="false">
      <c r="C14" s="13" t="s">
        <v>69</v>
      </c>
      <c r="F14" s="14" t="n">
        <f aca="false">SUM(F2:F13)</f>
        <v>733</v>
      </c>
      <c r="G14" s="14" t="n">
        <f aca="false">SUM(G2:G13)</f>
        <v>921</v>
      </c>
      <c r="H14" s="14" t="n">
        <f aca="false">SUM(H2:H13)</f>
        <v>736.75</v>
      </c>
      <c r="I14" s="14" t="n">
        <f aca="false">SUM(I2:I13)</f>
        <v>184.25</v>
      </c>
      <c r="J14" s="14" t="n">
        <f aca="false">SUM(J2:J13)</f>
        <v>3.75</v>
      </c>
      <c r="K14" s="15" t="n">
        <f aca="false">SUM(K2:K13)</f>
        <v>1</v>
      </c>
      <c r="M14" s="14" t="n">
        <f aca="false">SUM(M2:M13)</f>
        <v>736.75</v>
      </c>
      <c r="N14" s="16" t="n">
        <f aca="false">SUM(N2:N13)</f>
        <v>1082079545.45455</v>
      </c>
      <c r="O14" s="16" t="n">
        <f aca="false">SUM(O2:O13)</f>
        <v>254288693.181818</v>
      </c>
      <c r="P14" s="16" t="n">
        <f aca="false">SUM(P2:P13)</f>
        <v>1336368238.63636</v>
      </c>
      <c r="Q14" s="16" t="n">
        <f aca="false">SUM(Q2:Q13)</f>
        <v>0</v>
      </c>
      <c r="R14" s="16" t="n">
        <f aca="false">SUM(R2:R13)</f>
        <v>1082079545.45455</v>
      </c>
    </row>
    <row r="16" customFormat="false" ht="15" hidden="false" customHeight="false" outlineLevel="0" collapsed="false">
      <c r="A16" s="17" t="s">
        <v>70</v>
      </c>
    </row>
  </sheetData>
  <conditionalFormatting sqref="J2:J13">
    <cfRule type="expression" priority="2" aboveAverage="0" equalAverage="0" bottom="0" percent="0" rank="0" text="" dxfId="0">
      <formula>ABS(J2)&gt;0.1*F2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12" min="3" style="0" width="9"/>
    <col collapsed="false" customWidth="true" hidden="false" outlineLevel="0" max="13" min="13" style="0" width="10"/>
    <col collapsed="false" customWidth="true" hidden="false" outlineLevel="0" max="23" min="14" style="0" width="14"/>
    <col collapsed="false" customWidth="true" hidden="false" outlineLevel="0" max="24" min="24" style="0" width="16"/>
  </cols>
  <sheetData>
    <row r="1" customFormat="false" ht="15" hidden="false" customHeight="false" outlineLevel="0" collapsed="false">
      <c r="A1" s="4" t="s">
        <v>19</v>
      </c>
      <c r="B1" s="4" t="s">
        <v>20</v>
      </c>
      <c r="C1" s="4" t="s">
        <v>71</v>
      </c>
      <c r="D1" s="4" t="s">
        <v>72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79</v>
      </c>
      <c r="L1" s="4" t="s">
        <v>80</v>
      </c>
      <c r="M1" s="4" t="s">
        <v>81</v>
      </c>
      <c r="N1" s="4" t="s">
        <v>82</v>
      </c>
      <c r="O1" s="4" t="s">
        <v>83</v>
      </c>
      <c r="P1" s="4" t="s">
        <v>84</v>
      </c>
      <c r="Q1" s="4" t="s">
        <v>85</v>
      </c>
      <c r="R1" s="4" t="s">
        <v>86</v>
      </c>
      <c r="S1" s="4" t="s">
        <v>87</v>
      </c>
      <c r="T1" s="4" t="s">
        <v>88</v>
      </c>
      <c r="U1" s="4" t="s">
        <v>89</v>
      </c>
      <c r="V1" s="4" t="s">
        <v>90</v>
      </c>
      <c r="W1" s="4" t="s">
        <v>91</v>
      </c>
      <c r="X1" s="4" t="s">
        <v>92</v>
      </c>
    </row>
    <row r="2" customFormat="false" ht="15" hidden="false" customHeight="false" outlineLevel="0" collapsed="false">
      <c r="A2" s="6" t="s">
        <v>37</v>
      </c>
      <c r="B2" s="6" t="s">
        <v>38</v>
      </c>
      <c r="C2" s="8" t="n">
        <f aca="false">SUMIFS(Nhat_ky!$E$2:$E$989,Nhat_ky!$C$2:$C$989,$A2,Nhat_ky!$B$2:$B$989,"S1")</f>
        <v>10</v>
      </c>
      <c r="D2" s="8" t="n">
        <f aca="false">SUMIFS(Nhat_ky!$E$2:$E$989,Nhat_ky!$C$2:$C$989,$A2,Nhat_ky!$B$2:$B$989,"S2")</f>
        <v>10</v>
      </c>
      <c r="E2" s="8" t="n">
        <f aca="false">SUMIFS(Nhat_ky!$E$2:$E$989,Nhat_ky!$C$2:$C$989,$A2,Nhat_ky!$B$2:$B$989,"S3")</f>
        <v>12.75</v>
      </c>
      <c r="F2" s="8" t="n">
        <f aca="false">SUMIFS(Nhat_ky!$E$2:$E$989,Nhat_ky!$C$2:$C$989,$A2,Nhat_ky!$B$2:$B$989,"S4")</f>
        <v>10</v>
      </c>
      <c r="G2" s="8" t="n">
        <f aca="false">SUMIFS(Nhat_ky!$E$2:$E$989,Nhat_ky!$C$2:$C$989,$A2,Nhat_ky!$B$2:$B$989,"S5")</f>
        <v>3</v>
      </c>
      <c r="H2" s="8" t="n">
        <f aca="false">SUMIFS(Nhat_ky!$E$2:$E$989,Nhat_ky!$C$2:$C$989,$A2,Nhat_ky!$B$2:$B$989,"S6")</f>
        <v>4.5</v>
      </c>
      <c r="I2" s="8" t="n">
        <f aca="false">SUMIFS(Nhat_ky!$E$2:$E$989,Nhat_ky!$C$2:$C$989,$A2,Nhat_ky!$B$2:$B$989,"S7")</f>
        <v>5.25</v>
      </c>
      <c r="J2" s="8" t="n">
        <f aca="false">SUMIFS(Nhat_ky!$E$2:$E$989,Nhat_ky!$C$2:$C$989,$A2,Nhat_ky!$B$2:$B$989,"S8")</f>
        <v>6.75</v>
      </c>
      <c r="K2" s="8" t="n">
        <f aca="false">SUMIFS(Nhat_ky!$E$2:$E$989,Nhat_ky!$C$2:$C$989,$A2,Nhat_ky!$B$2:$B$989,"S9")</f>
        <v>3</v>
      </c>
      <c r="L2" s="8" t="n">
        <f aca="false">SUMIFS(Nhat_ky!$E$2:$E$989,Nhat_ky!$C$2:$C$989,$A2,Nhat_ky!$B$2:$B$989,"KT")</f>
        <v>2</v>
      </c>
      <c r="M2" s="9" t="n">
        <f aca="false">SUM(C2:L2)</f>
        <v>67.25</v>
      </c>
      <c r="N2" s="12" t="n">
        <f aca="false">IF(Tham_so!$B$11="cong_suc",C2,SUMIFS(Huy_dong!$C$2:$C$100,Huy_dong!$A$2:$A$100,$A2,Huy_dong!$B$2:$B$100,"S1"))*INDEX(Bang_luong!$L$2:$L$13,MATCH($A2,Bang_luong!$B$2:$B$13,0))</f>
        <v>23181818.1818182</v>
      </c>
      <c r="O2" s="12" t="n">
        <f aca="false">IF(Tham_so!$B$11="cong_suc",D2,SUMIFS(Huy_dong!$C$2:$C$100,Huy_dong!$A$2:$A$100,$A2,Huy_dong!$B$2:$B$100,"S2"))*INDEX(Bang_luong!$L$2:$L$13,MATCH($A2,Bang_luong!$B$2:$B$13,0))</f>
        <v>23181818.1818182</v>
      </c>
      <c r="P2" s="12" t="n">
        <f aca="false">IF(Tham_so!$B$11="cong_suc",E2,SUMIFS(Huy_dong!$C$2:$C$100,Huy_dong!$A$2:$A$100,$A2,Huy_dong!$B$2:$B$100,"S3"))*INDEX(Bang_luong!$L$2:$L$13,MATCH($A2,Bang_luong!$B$2:$B$13,0))</f>
        <v>29556818.1818182</v>
      </c>
      <c r="Q2" s="12" t="n">
        <f aca="false">IF(Tham_so!$B$11="cong_suc",F2,SUMIFS(Huy_dong!$C$2:$C$100,Huy_dong!$A$2:$A$100,$A2,Huy_dong!$B$2:$B$100,"S4"))*INDEX(Bang_luong!$L$2:$L$13,MATCH($A2,Bang_luong!$B$2:$B$13,0))</f>
        <v>23181818.1818182</v>
      </c>
      <c r="R2" s="12" t="n">
        <f aca="false">IF(Tham_so!$B$11="cong_suc",G2,SUMIFS(Huy_dong!$C$2:$C$100,Huy_dong!$A$2:$A$100,$A2,Huy_dong!$B$2:$B$100,"S5"))*INDEX(Bang_luong!$L$2:$L$13,MATCH($A2,Bang_luong!$B$2:$B$13,0))</f>
        <v>6954545.45454546</v>
      </c>
      <c r="S2" s="12" t="n">
        <f aca="false">IF(Tham_so!$B$11="cong_suc",H2,SUMIFS(Huy_dong!$C$2:$C$100,Huy_dong!$A$2:$A$100,$A2,Huy_dong!$B$2:$B$100,"S6"))*INDEX(Bang_luong!$L$2:$L$13,MATCH($A2,Bang_luong!$B$2:$B$13,0))</f>
        <v>10431818.1818182</v>
      </c>
      <c r="T2" s="12" t="n">
        <f aca="false">IF(Tham_so!$B$11="cong_suc",I2,SUMIFS(Huy_dong!$C$2:$C$100,Huy_dong!$A$2:$A$100,$A2,Huy_dong!$B$2:$B$100,"S7"))*INDEX(Bang_luong!$L$2:$L$13,MATCH($A2,Bang_luong!$B$2:$B$13,0))</f>
        <v>12170454.5454545</v>
      </c>
      <c r="U2" s="12" t="n">
        <f aca="false">IF(Tham_so!$B$11="cong_suc",J2,SUMIFS(Huy_dong!$C$2:$C$100,Huy_dong!$A$2:$A$100,$A2,Huy_dong!$B$2:$B$100,"S8"))*INDEX(Bang_luong!$L$2:$L$13,MATCH($A2,Bang_luong!$B$2:$B$13,0))</f>
        <v>15647727.2727273</v>
      </c>
      <c r="V2" s="12" t="n">
        <f aca="false">IF(Tham_so!$B$11="cong_suc",K2,SUMIFS(Huy_dong!$C$2:$C$100,Huy_dong!$A$2:$A$100,$A2,Huy_dong!$B$2:$B$100,"S9"))*INDEX(Bang_luong!$L$2:$L$13,MATCH($A2,Bang_luong!$B$2:$B$13,0))</f>
        <v>6954545.45454546</v>
      </c>
      <c r="W2" s="12" t="n">
        <f aca="false">IF(Tham_so!$B$11="cong_suc",L2,SUMIFS(Huy_dong!$C$2:$C$100,Huy_dong!$A$2:$A$100,$A2,Huy_dong!$B$2:$B$100,"KT"))*INDEX(Bang_luong!$L$2:$L$13,MATCH($A2,Bang_luong!$B$2:$B$13,0))</f>
        <v>4636363.63636364</v>
      </c>
      <c r="X2" s="12" t="n">
        <f aca="false">SUM(N2:W2)</f>
        <v>155897727.272727</v>
      </c>
    </row>
    <row r="3" customFormat="false" ht="15" hidden="false" customHeight="false" outlineLevel="0" collapsed="false">
      <c r="A3" s="6" t="s">
        <v>41</v>
      </c>
      <c r="B3" s="6" t="s">
        <v>42</v>
      </c>
      <c r="C3" s="8" t="n">
        <f aca="false">SUMIFS(Nhat_ky!$E$2:$E$989,Nhat_ky!$C$2:$C$989,$A3,Nhat_ky!$B$2:$B$989,"S1")</f>
        <v>4</v>
      </c>
      <c r="D3" s="8" t="n">
        <f aca="false">SUMIFS(Nhat_ky!$E$2:$E$989,Nhat_ky!$C$2:$C$989,$A3,Nhat_ky!$B$2:$B$989,"S2")</f>
        <v>5</v>
      </c>
      <c r="E3" s="8" t="n">
        <f aca="false">SUMIFS(Nhat_ky!$E$2:$E$989,Nhat_ky!$C$2:$C$989,$A3,Nhat_ky!$B$2:$B$989,"S3")</f>
        <v>7</v>
      </c>
      <c r="F3" s="8" t="n">
        <f aca="false">SUMIFS(Nhat_ky!$E$2:$E$989,Nhat_ky!$C$2:$C$989,$A3,Nhat_ky!$B$2:$B$989,"S4")</f>
        <v>10</v>
      </c>
      <c r="G3" s="8" t="n">
        <f aca="false">SUMIFS(Nhat_ky!$E$2:$E$989,Nhat_ky!$C$2:$C$989,$A3,Nhat_ky!$B$2:$B$989,"S5")</f>
        <v>10</v>
      </c>
      <c r="H3" s="8" t="n">
        <f aca="false">SUMIFS(Nhat_ky!$E$2:$E$989,Nhat_ky!$C$2:$C$989,$A3,Nhat_ky!$B$2:$B$989,"S6")</f>
        <v>8.25</v>
      </c>
      <c r="I3" s="8" t="n">
        <f aca="false">SUMIFS(Nhat_ky!$E$2:$E$989,Nhat_ky!$C$2:$C$989,$A3,Nhat_ky!$B$2:$B$989,"S7")</f>
        <v>0</v>
      </c>
      <c r="J3" s="8" t="n">
        <f aca="false">SUMIFS(Nhat_ky!$E$2:$E$989,Nhat_ky!$C$2:$C$989,$A3,Nhat_ky!$B$2:$B$989,"S8")</f>
        <v>1</v>
      </c>
      <c r="K3" s="8" t="n">
        <f aca="false">SUMIFS(Nhat_ky!$E$2:$E$989,Nhat_ky!$C$2:$C$989,$A3,Nhat_ky!$B$2:$B$989,"S9")</f>
        <v>5</v>
      </c>
      <c r="L3" s="8" t="n">
        <f aca="false">SUMIFS(Nhat_ky!$E$2:$E$989,Nhat_ky!$C$2:$C$989,$A3,Nhat_ky!$B$2:$B$989,"KT")</f>
        <v>0</v>
      </c>
      <c r="M3" s="9" t="n">
        <f aca="false">SUM(C3:L3)</f>
        <v>50.25</v>
      </c>
      <c r="N3" s="12" t="n">
        <f aca="false">IF(Tham_so!$B$11="cong_suc",C3,SUMIFS(Huy_dong!$C$2:$C$100,Huy_dong!$A$2:$A$100,$A3,Huy_dong!$B$2:$B$100,"S1"))*INDEX(Bang_luong!$L$2:$L$13,MATCH($A3,Bang_luong!$B$2:$B$13,0))</f>
        <v>5454545.45454545</v>
      </c>
      <c r="O3" s="12" t="n">
        <f aca="false">IF(Tham_so!$B$11="cong_suc",D3,SUMIFS(Huy_dong!$C$2:$C$100,Huy_dong!$A$2:$A$100,$A3,Huy_dong!$B$2:$B$100,"S2"))*INDEX(Bang_luong!$L$2:$L$13,MATCH($A3,Bang_luong!$B$2:$B$13,0))</f>
        <v>6818181.81818182</v>
      </c>
      <c r="P3" s="12" t="n">
        <f aca="false">IF(Tham_so!$B$11="cong_suc",E3,SUMIFS(Huy_dong!$C$2:$C$100,Huy_dong!$A$2:$A$100,$A3,Huy_dong!$B$2:$B$100,"S3"))*INDEX(Bang_luong!$L$2:$L$13,MATCH($A3,Bang_luong!$B$2:$B$13,0))</f>
        <v>9545454.54545455</v>
      </c>
      <c r="Q3" s="12" t="n">
        <f aca="false">IF(Tham_so!$B$11="cong_suc",F3,SUMIFS(Huy_dong!$C$2:$C$100,Huy_dong!$A$2:$A$100,$A3,Huy_dong!$B$2:$B$100,"S4"))*INDEX(Bang_luong!$L$2:$L$13,MATCH($A3,Bang_luong!$B$2:$B$13,0))</f>
        <v>13636363.6363636</v>
      </c>
      <c r="R3" s="12" t="n">
        <f aca="false">IF(Tham_so!$B$11="cong_suc",G3,SUMIFS(Huy_dong!$C$2:$C$100,Huy_dong!$A$2:$A$100,$A3,Huy_dong!$B$2:$B$100,"S5"))*INDEX(Bang_luong!$L$2:$L$13,MATCH($A3,Bang_luong!$B$2:$B$13,0))</f>
        <v>13636363.6363636</v>
      </c>
      <c r="S3" s="12" t="n">
        <f aca="false">IF(Tham_so!$B$11="cong_suc",H3,SUMIFS(Huy_dong!$C$2:$C$100,Huy_dong!$A$2:$A$100,$A3,Huy_dong!$B$2:$B$100,"S6"))*INDEX(Bang_luong!$L$2:$L$13,MATCH($A3,Bang_luong!$B$2:$B$13,0))</f>
        <v>11250000</v>
      </c>
      <c r="T3" s="12" t="n">
        <f aca="false">IF(Tham_so!$B$11="cong_suc",I3,SUMIFS(Huy_dong!$C$2:$C$100,Huy_dong!$A$2:$A$100,$A3,Huy_dong!$B$2:$B$100,"S7"))*INDEX(Bang_luong!$L$2:$L$13,MATCH($A3,Bang_luong!$B$2:$B$13,0))</f>
        <v>0</v>
      </c>
      <c r="U3" s="12" t="n">
        <f aca="false">IF(Tham_so!$B$11="cong_suc",J3,SUMIFS(Huy_dong!$C$2:$C$100,Huy_dong!$A$2:$A$100,$A3,Huy_dong!$B$2:$B$100,"S8"))*INDEX(Bang_luong!$L$2:$L$13,MATCH($A3,Bang_luong!$B$2:$B$13,0))</f>
        <v>1363636.36363636</v>
      </c>
      <c r="V3" s="12" t="n">
        <f aca="false">IF(Tham_so!$B$11="cong_suc",K3,SUMIFS(Huy_dong!$C$2:$C$100,Huy_dong!$A$2:$A$100,$A3,Huy_dong!$B$2:$B$100,"S9"))*INDEX(Bang_luong!$L$2:$L$13,MATCH($A3,Bang_luong!$B$2:$B$13,0))</f>
        <v>6818181.81818182</v>
      </c>
      <c r="W3" s="12" t="n">
        <f aca="false">IF(Tham_so!$B$11="cong_suc",L3,SUMIFS(Huy_dong!$C$2:$C$100,Huy_dong!$A$2:$A$100,$A3,Huy_dong!$B$2:$B$100,"KT"))*INDEX(Bang_luong!$L$2:$L$13,MATCH($A3,Bang_luong!$B$2:$B$13,0))</f>
        <v>0</v>
      </c>
      <c r="X3" s="12" t="n">
        <f aca="false">SUM(N3:W3)</f>
        <v>68522727.2727273</v>
      </c>
    </row>
    <row r="4" customFormat="false" ht="15" hidden="false" customHeight="false" outlineLevel="0" collapsed="false">
      <c r="A4" s="6" t="s">
        <v>44</v>
      </c>
      <c r="B4" s="6" t="s">
        <v>45</v>
      </c>
      <c r="C4" s="8" t="n">
        <f aca="false">SUMIFS(Nhat_ky!$E$2:$E$989,Nhat_ky!$C$2:$C$989,$A4,Nhat_ky!$B$2:$B$989,"S1")</f>
        <v>8.5</v>
      </c>
      <c r="D4" s="8" t="n">
        <f aca="false">SUMIFS(Nhat_ky!$E$2:$E$989,Nhat_ky!$C$2:$C$989,$A4,Nhat_ky!$B$2:$B$989,"S2")</f>
        <v>10</v>
      </c>
      <c r="E4" s="8" t="n">
        <f aca="false">SUMIFS(Nhat_ky!$E$2:$E$989,Nhat_ky!$C$2:$C$989,$A4,Nhat_ky!$B$2:$B$989,"S3")</f>
        <v>11</v>
      </c>
      <c r="F4" s="8" t="n">
        <f aca="false">SUMIFS(Nhat_ky!$E$2:$E$989,Nhat_ky!$C$2:$C$989,$A4,Nhat_ky!$B$2:$B$989,"S4")</f>
        <v>9.75</v>
      </c>
      <c r="G4" s="8" t="n">
        <f aca="false">SUMIFS(Nhat_ky!$E$2:$E$989,Nhat_ky!$C$2:$C$989,$A4,Nhat_ky!$B$2:$B$989,"S5")</f>
        <v>6.25</v>
      </c>
      <c r="H4" s="8" t="n">
        <f aca="false">SUMIFS(Nhat_ky!$E$2:$E$989,Nhat_ky!$C$2:$C$989,$A4,Nhat_ky!$B$2:$B$989,"S6")</f>
        <v>4.75</v>
      </c>
      <c r="I4" s="8" t="n">
        <f aca="false">SUMIFS(Nhat_ky!$E$2:$E$989,Nhat_ky!$C$2:$C$989,$A4,Nhat_ky!$B$2:$B$989,"S7")</f>
        <v>0</v>
      </c>
      <c r="J4" s="8" t="n">
        <f aca="false">SUMIFS(Nhat_ky!$E$2:$E$989,Nhat_ky!$C$2:$C$989,$A4,Nhat_ky!$B$2:$B$989,"S8")</f>
        <v>3.25</v>
      </c>
      <c r="K4" s="8" t="n">
        <f aca="false">SUMIFS(Nhat_ky!$E$2:$E$989,Nhat_ky!$C$2:$C$989,$A4,Nhat_ky!$B$2:$B$989,"S9")</f>
        <v>4</v>
      </c>
      <c r="L4" s="8" t="n">
        <f aca="false">SUMIFS(Nhat_ky!$E$2:$E$989,Nhat_ky!$C$2:$C$989,$A4,Nhat_ky!$B$2:$B$989,"KT")</f>
        <v>0</v>
      </c>
      <c r="M4" s="9" t="n">
        <f aca="false">SUM(C4:L4)</f>
        <v>57.5</v>
      </c>
      <c r="N4" s="12" t="n">
        <f aca="false">IF(Tham_so!$B$11="cong_suc",C4,SUMIFS(Huy_dong!$C$2:$C$100,Huy_dong!$A$2:$A$100,$A4,Huy_dong!$B$2:$B$100,"S1"))*INDEX(Bang_luong!$L$2:$L$13,MATCH($A4,Bang_luong!$B$2:$B$13,0))</f>
        <v>10818181.8181818</v>
      </c>
      <c r="O4" s="12" t="n">
        <f aca="false">IF(Tham_so!$B$11="cong_suc",D4,SUMIFS(Huy_dong!$C$2:$C$100,Huy_dong!$A$2:$A$100,$A4,Huy_dong!$B$2:$B$100,"S2"))*INDEX(Bang_luong!$L$2:$L$13,MATCH($A4,Bang_luong!$B$2:$B$13,0))</f>
        <v>12727272.7272727</v>
      </c>
      <c r="P4" s="12" t="n">
        <f aca="false">IF(Tham_so!$B$11="cong_suc",E4,SUMIFS(Huy_dong!$C$2:$C$100,Huy_dong!$A$2:$A$100,$A4,Huy_dong!$B$2:$B$100,"S3"))*INDEX(Bang_luong!$L$2:$L$13,MATCH($A4,Bang_luong!$B$2:$B$13,0))</f>
        <v>14000000</v>
      </c>
      <c r="Q4" s="12" t="n">
        <f aca="false">IF(Tham_so!$B$11="cong_suc",F4,SUMIFS(Huy_dong!$C$2:$C$100,Huy_dong!$A$2:$A$100,$A4,Huy_dong!$B$2:$B$100,"S4"))*INDEX(Bang_luong!$L$2:$L$13,MATCH($A4,Bang_luong!$B$2:$B$13,0))</f>
        <v>12409090.9090909</v>
      </c>
      <c r="R4" s="12" t="n">
        <f aca="false">IF(Tham_so!$B$11="cong_suc",G4,SUMIFS(Huy_dong!$C$2:$C$100,Huy_dong!$A$2:$A$100,$A4,Huy_dong!$B$2:$B$100,"S5"))*INDEX(Bang_luong!$L$2:$L$13,MATCH($A4,Bang_luong!$B$2:$B$13,0))</f>
        <v>7954545.45454545</v>
      </c>
      <c r="S4" s="12" t="n">
        <f aca="false">IF(Tham_so!$B$11="cong_suc",H4,SUMIFS(Huy_dong!$C$2:$C$100,Huy_dong!$A$2:$A$100,$A4,Huy_dong!$B$2:$B$100,"S6"))*INDEX(Bang_luong!$L$2:$L$13,MATCH($A4,Bang_luong!$B$2:$B$13,0))</f>
        <v>6045454.54545455</v>
      </c>
      <c r="T4" s="12" t="n">
        <f aca="false">IF(Tham_so!$B$11="cong_suc",I4,SUMIFS(Huy_dong!$C$2:$C$100,Huy_dong!$A$2:$A$100,$A4,Huy_dong!$B$2:$B$100,"S7"))*INDEX(Bang_luong!$L$2:$L$13,MATCH($A4,Bang_luong!$B$2:$B$13,0))</f>
        <v>0</v>
      </c>
      <c r="U4" s="12" t="n">
        <f aca="false">IF(Tham_so!$B$11="cong_suc",J4,SUMIFS(Huy_dong!$C$2:$C$100,Huy_dong!$A$2:$A$100,$A4,Huy_dong!$B$2:$B$100,"S8"))*INDEX(Bang_luong!$L$2:$L$13,MATCH($A4,Bang_luong!$B$2:$B$13,0))</f>
        <v>4136363.63636364</v>
      </c>
      <c r="V4" s="12" t="n">
        <f aca="false">IF(Tham_so!$B$11="cong_suc",K4,SUMIFS(Huy_dong!$C$2:$C$100,Huy_dong!$A$2:$A$100,$A4,Huy_dong!$B$2:$B$100,"S9"))*INDEX(Bang_luong!$L$2:$L$13,MATCH($A4,Bang_luong!$B$2:$B$13,0))</f>
        <v>5090909.09090909</v>
      </c>
      <c r="W4" s="12" t="n">
        <f aca="false">IF(Tham_so!$B$11="cong_suc",L4,SUMIFS(Huy_dong!$C$2:$C$100,Huy_dong!$A$2:$A$100,$A4,Huy_dong!$B$2:$B$100,"KT"))*INDEX(Bang_luong!$L$2:$L$13,MATCH($A4,Bang_luong!$B$2:$B$13,0))</f>
        <v>0</v>
      </c>
      <c r="X4" s="12" t="n">
        <f aca="false">SUM(N4:W4)</f>
        <v>73181818.1818182</v>
      </c>
    </row>
    <row r="5" customFormat="false" ht="15" hidden="false" customHeight="false" outlineLevel="0" collapsed="false">
      <c r="A5" s="6" t="s">
        <v>47</v>
      </c>
      <c r="B5" s="6" t="s">
        <v>48</v>
      </c>
      <c r="C5" s="8" t="n">
        <f aca="false">SUMIFS(Nhat_ky!$E$2:$E$989,Nhat_ky!$C$2:$C$989,$A5,Nhat_ky!$B$2:$B$989,"S1")</f>
        <v>6</v>
      </c>
      <c r="D5" s="8" t="n">
        <f aca="false">SUMIFS(Nhat_ky!$E$2:$E$989,Nhat_ky!$C$2:$C$989,$A5,Nhat_ky!$B$2:$B$989,"S2")</f>
        <v>8.75</v>
      </c>
      <c r="E5" s="8" t="n">
        <f aca="false">SUMIFS(Nhat_ky!$E$2:$E$989,Nhat_ky!$C$2:$C$989,$A5,Nhat_ky!$B$2:$B$989,"S3")</f>
        <v>13</v>
      </c>
      <c r="F5" s="8" t="n">
        <f aca="false">SUMIFS(Nhat_ky!$E$2:$E$989,Nhat_ky!$C$2:$C$989,$A5,Nhat_ky!$B$2:$B$989,"S4")</f>
        <v>10</v>
      </c>
      <c r="G5" s="8" t="n">
        <f aca="false">SUMIFS(Nhat_ky!$E$2:$E$989,Nhat_ky!$C$2:$C$989,$A5,Nhat_ky!$B$2:$B$989,"S5")</f>
        <v>7.75</v>
      </c>
      <c r="H5" s="8" t="n">
        <f aca="false">SUMIFS(Nhat_ky!$E$2:$E$989,Nhat_ky!$C$2:$C$989,$A5,Nhat_ky!$B$2:$B$989,"S6")</f>
        <v>10</v>
      </c>
      <c r="I5" s="8" t="n">
        <f aca="false">SUMIFS(Nhat_ky!$E$2:$E$989,Nhat_ky!$C$2:$C$989,$A5,Nhat_ky!$B$2:$B$989,"S7")</f>
        <v>3</v>
      </c>
      <c r="J5" s="8" t="n">
        <f aca="false">SUMIFS(Nhat_ky!$E$2:$E$989,Nhat_ky!$C$2:$C$989,$A5,Nhat_ky!$B$2:$B$989,"S8")</f>
        <v>0</v>
      </c>
      <c r="K5" s="8" t="n">
        <f aca="false">SUMIFS(Nhat_ky!$E$2:$E$989,Nhat_ky!$C$2:$C$989,$A5,Nhat_ky!$B$2:$B$989,"S9")</f>
        <v>9</v>
      </c>
      <c r="L5" s="8" t="n">
        <f aca="false">SUMIFS(Nhat_ky!$E$2:$E$989,Nhat_ky!$C$2:$C$989,$A5,Nhat_ky!$B$2:$B$989,"KT")</f>
        <v>0</v>
      </c>
      <c r="M5" s="9" t="n">
        <f aca="false">SUM(C5:L5)</f>
        <v>67.5</v>
      </c>
      <c r="N5" s="12" t="n">
        <f aca="false">IF(Tham_so!$B$11="cong_suc",C5,SUMIFS(Huy_dong!$C$2:$C$100,Huy_dong!$A$2:$A$100,$A5,Huy_dong!$B$2:$B$100,"S1"))*INDEX(Bang_luong!$L$2:$L$13,MATCH($A5,Bang_luong!$B$2:$B$13,0))</f>
        <v>8181818.18181818</v>
      </c>
      <c r="O5" s="12" t="n">
        <f aca="false">IF(Tham_so!$B$11="cong_suc",D5,SUMIFS(Huy_dong!$C$2:$C$100,Huy_dong!$A$2:$A$100,$A5,Huy_dong!$B$2:$B$100,"S2"))*INDEX(Bang_luong!$L$2:$L$13,MATCH($A5,Bang_luong!$B$2:$B$13,0))</f>
        <v>11931818.1818182</v>
      </c>
      <c r="P5" s="12" t="n">
        <f aca="false">IF(Tham_so!$B$11="cong_suc",E5,SUMIFS(Huy_dong!$C$2:$C$100,Huy_dong!$A$2:$A$100,$A5,Huy_dong!$B$2:$B$100,"S3"))*INDEX(Bang_luong!$L$2:$L$13,MATCH($A5,Bang_luong!$B$2:$B$13,0))</f>
        <v>17727272.7272727</v>
      </c>
      <c r="Q5" s="12" t="n">
        <f aca="false">IF(Tham_so!$B$11="cong_suc",F5,SUMIFS(Huy_dong!$C$2:$C$100,Huy_dong!$A$2:$A$100,$A5,Huy_dong!$B$2:$B$100,"S4"))*INDEX(Bang_luong!$L$2:$L$13,MATCH($A5,Bang_luong!$B$2:$B$13,0))</f>
        <v>13636363.6363636</v>
      </c>
      <c r="R5" s="12" t="n">
        <f aca="false">IF(Tham_so!$B$11="cong_suc",G5,SUMIFS(Huy_dong!$C$2:$C$100,Huy_dong!$A$2:$A$100,$A5,Huy_dong!$B$2:$B$100,"S5"))*INDEX(Bang_luong!$L$2:$L$13,MATCH($A5,Bang_luong!$B$2:$B$13,0))</f>
        <v>10568181.8181818</v>
      </c>
      <c r="S5" s="12" t="n">
        <f aca="false">IF(Tham_so!$B$11="cong_suc",H5,SUMIFS(Huy_dong!$C$2:$C$100,Huy_dong!$A$2:$A$100,$A5,Huy_dong!$B$2:$B$100,"S6"))*INDEX(Bang_luong!$L$2:$L$13,MATCH($A5,Bang_luong!$B$2:$B$13,0))</f>
        <v>13636363.6363636</v>
      </c>
      <c r="T5" s="12" t="n">
        <f aca="false">IF(Tham_so!$B$11="cong_suc",I5,SUMIFS(Huy_dong!$C$2:$C$100,Huy_dong!$A$2:$A$100,$A5,Huy_dong!$B$2:$B$100,"S7"))*INDEX(Bang_luong!$L$2:$L$13,MATCH($A5,Bang_luong!$B$2:$B$13,0))</f>
        <v>4090909.09090909</v>
      </c>
      <c r="U5" s="12" t="n">
        <f aca="false">IF(Tham_so!$B$11="cong_suc",J5,SUMIFS(Huy_dong!$C$2:$C$100,Huy_dong!$A$2:$A$100,$A5,Huy_dong!$B$2:$B$100,"S8"))*INDEX(Bang_luong!$L$2:$L$13,MATCH($A5,Bang_luong!$B$2:$B$13,0))</f>
        <v>0</v>
      </c>
      <c r="V5" s="12" t="n">
        <f aca="false">IF(Tham_so!$B$11="cong_suc",K5,SUMIFS(Huy_dong!$C$2:$C$100,Huy_dong!$A$2:$A$100,$A5,Huy_dong!$B$2:$B$100,"S9"))*INDEX(Bang_luong!$L$2:$L$13,MATCH($A5,Bang_luong!$B$2:$B$13,0))</f>
        <v>12272727.2727273</v>
      </c>
      <c r="W5" s="12" t="n">
        <f aca="false">IF(Tham_so!$B$11="cong_suc",L5,SUMIFS(Huy_dong!$C$2:$C$100,Huy_dong!$A$2:$A$100,$A5,Huy_dong!$B$2:$B$100,"KT"))*INDEX(Bang_luong!$L$2:$L$13,MATCH($A5,Bang_luong!$B$2:$B$13,0))</f>
        <v>0</v>
      </c>
      <c r="X5" s="12" t="n">
        <f aca="false">SUM(N5:W5)</f>
        <v>92045454.5454545</v>
      </c>
    </row>
    <row r="6" customFormat="false" ht="15" hidden="false" customHeight="false" outlineLevel="0" collapsed="false">
      <c r="A6" s="6" t="s">
        <v>49</v>
      </c>
      <c r="B6" s="6" t="s">
        <v>50</v>
      </c>
      <c r="C6" s="8" t="n">
        <f aca="false">SUMIFS(Nhat_ky!$E$2:$E$989,Nhat_ky!$C$2:$C$989,$A6,Nhat_ky!$B$2:$B$989,"S1")</f>
        <v>10</v>
      </c>
      <c r="D6" s="8" t="n">
        <f aca="false">SUMIFS(Nhat_ky!$E$2:$E$989,Nhat_ky!$C$2:$C$989,$A6,Nhat_ky!$B$2:$B$989,"S2")</f>
        <v>9.75</v>
      </c>
      <c r="E6" s="8" t="n">
        <f aca="false">SUMIFS(Nhat_ky!$E$2:$E$989,Nhat_ky!$C$2:$C$989,$A6,Nhat_ky!$B$2:$B$989,"S3")</f>
        <v>12</v>
      </c>
      <c r="F6" s="8" t="n">
        <f aca="false">SUMIFS(Nhat_ky!$E$2:$E$989,Nhat_ky!$C$2:$C$989,$A6,Nhat_ky!$B$2:$B$989,"S4")</f>
        <v>8</v>
      </c>
      <c r="G6" s="8" t="n">
        <f aca="false">SUMIFS(Nhat_ky!$E$2:$E$989,Nhat_ky!$C$2:$C$989,$A6,Nhat_ky!$B$2:$B$989,"S5")</f>
        <v>6</v>
      </c>
      <c r="H6" s="8" t="n">
        <f aca="false">SUMIFS(Nhat_ky!$E$2:$E$989,Nhat_ky!$C$2:$C$989,$A6,Nhat_ky!$B$2:$B$989,"S6")</f>
        <v>10</v>
      </c>
      <c r="I6" s="8" t="n">
        <f aca="false">SUMIFS(Nhat_ky!$E$2:$E$989,Nhat_ky!$C$2:$C$989,$A6,Nhat_ky!$B$2:$B$989,"S7")</f>
        <v>8</v>
      </c>
      <c r="J6" s="8" t="n">
        <f aca="false">SUMIFS(Nhat_ky!$E$2:$E$989,Nhat_ky!$C$2:$C$989,$A6,Nhat_ky!$B$2:$B$989,"S8")</f>
        <v>4</v>
      </c>
      <c r="K6" s="8" t="n">
        <f aca="false">SUMIFS(Nhat_ky!$E$2:$E$989,Nhat_ky!$C$2:$C$989,$A6,Nhat_ky!$B$2:$B$989,"S9")</f>
        <v>5.5</v>
      </c>
      <c r="L6" s="8" t="n">
        <f aca="false">SUMIFS(Nhat_ky!$E$2:$E$989,Nhat_ky!$C$2:$C$989,$A6,Nhat_ky!$B$2:$B$989,"KT")</f>
        <v>0</v>
      </c>
      <c r="M6" s="9" t="n">
        <f aca="false">SUM(C6:L6)</f>
        <v>73.25</v>
      </c>
      <c r="N6" s="12" t="n">
        <f aca="false">IF(Tham_so!$B$11="cong_suc",C6,SUMIFS(Huy_dong!$C$2:$C$100,Huy_dong!$A$2:$A$100,$A6,Huy_dong!$B$2:$B$100,"S1"))*INDEX(Bang_luong!$L$2:$L$13,MATCH($A6,Bang_luong!$B$2:$B$13,0))</f>
        <v>12272727.2727273</v>
      </c>
      <c r="O6" s="12" t="n">
        <f aca="false">IF(Tham_so!$B$11="cong_suc",D6,SUMIFS(Huy_dong!$C$2:$C$100,Huy_dong!$A$2:$A$100,$A6,Huy_dong!$B$2:$B$100,"S2"))*INDEX(Bang_luong!$L$2:$L$13,MATCH($A6,Bang_luong!$B$2:$B$13,0))</f>
        <v>11965909.0909091</v>
      </c>
      <c r="P6" s="12" t="n">
        <f aca="false">IF(Tham_so!$B$11="cong_suc",E6,SUMIFS(Huy_dong!$C$2:$C$100,Huy_dong!$A$2:$A$100,$A6,Huy_dong!$B$2:$B$100,"S3"))*INDEX(Bang_luong!$L$2:$L$13,MATCH($A6,Bang_luong!$B$2:$B$13,0))</f>
        <v>14727272.7272727</v>
      </c>
      <c r="Q6" s="12" t="n">
        <f aca="false">IF(Tham_so!$B$11="cong_suc",F6,SUMIFS(Huy_dong!$C$2:$C$100,Huy_dong!$A$2:$A$100,$A6,Huy_dong!$B$2:$B$100,"S4"))*INDEX(Bang_luong!$L$2:$L$13,MATCH($A6,Bang_luong!$B$2:$B$13,0))</f>
        <v>9818181.81818182</v>
      </c>
      <c r="R6" s="12" t="n">
        <f aca="false">IF(Tham_so!$B$11="cong_suc",G6,SUMIFS(Huy_dong!$C$2:$C$100,Huy_dong!$A$2:$A$100,$A6,Huy_dong!$B$2:$B$100,"S5"))*INDEX(Bang_luong!$L$2:$L$13,MATCH($A6,Bang_luong!$B$2:$B$13,0))</f>
        <v>7363636.36363636</v>
      </c>
      <c r="S6" s="12" t="n">
        <f aca="false">IF(Tham_so!$B$11="cong_suc",H6,SUMIFS(Huy_dong!$C$2:$C$100,Huy_dong!$A$2:$A$100,$A6,Huy_dong!$B$2:$B$100,"S6"))*INDEX(Bang_luong!$L$2:$L$13,MATCH($A6,Bang_luong!$B$2:$B$13,0))</f>
        <v>12272727.2727273</v>
      </c>
      <c r="T6" s="12" t="n">
        <f aca="false">IF(Tham_so!$B$11="cong_suc",I6,SUMIFS(Huy_dong!$C$2:$C$100,Huy_dong!$A$2:$A$100,$A6,Huy_dong!$B$2:$B$100,"S7"))*INDEX(Bang_luong!$L$2:$L$13,MATCH($A6,Bang_luong!$B$2:$B$13,0))</f>
        <v>9818181.81818182</v>
      </c>
      <c r="U6" s="12" t="n">
        <f aca="false">IF(Tham_so!$B$11="cong_suc",J6,SUMIFS(Huy_dong!$C$2:$C$100,Huy_dong!$A$2:$A$100,$A6,Huy_dong!$B$2:$B$100,"S8"))*INDEX(Bang_luong!$L$2:$L$13,MATCH($A6,Bang_luong!$B$2:$B$13,0))</f>
        <v>4909090.90909091</v>
      </c>
      <c r="V6" s="12" t="n">
        <f aca="false">IF(Tham_so!$B$11="cong_suc",K6,SUMIFS(Huy_dong!$C$2:$C$100,Huy_dong!$A$2:$A$100,$A6,Huy_dong!$B$2:$B$100,"S9"))*INDEX(Bang_luong!$L$2:$L$13,MATCH($A6,Bang_luong!$B$2:$B$13,0))</f>
        <v>6750000</v>
      </c>
      <c r="W6" s="12" t="n">
        <f aca="false">IF(Tham_so!$B$11="cong_suc",L6,SUMIFS(Huy_dong!$C$2:$C$100,Huy_dong!$A$2:$A$100,$A6,Huy_dong!$B$2:$B$100,"KT"))*INDEX(Bang_luong!$L$2:$L$13,MATCH($A6,Bang_luong!$B$2:$B$13,0))</f>
        <v>0</v>
      </c>
      <c r="X6" s="12" t="n">
        <f aca="false">SUM(N6:W6)</f>
        <v>89897727.2727273</v>
      </c>
    </row>
    <row r="7" customFormat="false" ht="15" hidden="false" customHeight="false" outlineLevel="0" collapsed="false">
      <c r="A7" s="6" t="s">
        <v>52</v>
      </c>
      <c r="B7" s="6" t="s">
        <v>53</v>
      </c>
      <c r="C7" s="8" t="n">
        <f aca="false">SUMIFS(Nhat_ky!$E$2:$E$989,Nhat_ky!$C$2:$C$989,$A7,Nhat_ky!$B$2:$B$989,"S1")</f>
        <v>9.75</v>
      </c>
      <c r="D7" s="8" t="n">
        <f aca="false">SUMIFS(Nhat_ky!$E$2:$E$989,Nhat_ky!$C$2:$C$989,$A7,Nhat_ky!$B$2:$B$989,"S2")</f>
        <v>10</v>
      </c>
      <c r="E7" s="8" t="n">
        <f aca="false">SUMIFS(Nhat_ky!$E$2:$E$989,Nhat_ky!$C$2:$C$989,$A7,Nhat_ky!$B$2:$B$989,"S3")</f>
        <v>12</v>
      </c>
      <c r="F7" s="8" t="n">
        <f aca="false">SUMIFS(Nhat_ky!$E$2:$E$989,Nhat_ky!$C$2:$C$989,$A7,Nhat_ky!$B$2:$B$989,"S4")</f>
        <v>10</v>
      </c>
      <c r="G7" s="8" t="n">
        <f aca="false">SUMIFS(Nhat_ky!$E$2:$E$989,Nhat_ky!$C$2:$C$989,$A7,Nhat_ky!$B$2:$B$989,"S5")</f>
        <v>6.5</v>
      </c>
      <c r="H7" s="8" t="n">
        <f aca="false">SUMIFS(Nhat_ky!$E$2:$E$989,Nhat_ky!$C$2:$C$989,$A7,Nhat_ky!$B$2:$B$989,"S6")</f>
        <v>9.5</v>
      </c>
      <c r="I7" s="8" t="n">
        <f aca="false">SUMIFS(Nhat_ky!$E$2:$E$989,Nhat_ky!$C$2:$C$989,$A7,Nhat_ky!$B$2:$B$989,"S7")</f>
        <v>0</v>
      </c>
      <c r="J7" s="8" t="n">
        <f aca="false">SUMIFS(Nhat_ky!$E$2:$E$989,Nhat_ky!$C$2:$C$989,$A7,Nhat_ky!$B$2:$B$989,"S8")</f>
        <v>7.5</v>
      </c>
      <c r="K7" s="8" t="n">
        <f aca="false">SUMIFS(Nhat_ky!$E$2:$E$989,Nhat_ky!$C$2:$C$989,$A7,Nhat_ky!$B$2:$B$989,"S9")</f>
        <v>6.5</v>
      </c>
      <c r="L7" s="8" t="n">
        <f aca="false">SUMIFS(Nhat_ky!$E$2:$E$989,Nhat_ky!$C$2:$C$989,$A7,Nhat_ky!$B$2:$B$989,"KT")</f>
        <v>0</v>
      </c>
      <c r="M7" s="9" t="n">
        <f aca="false">SUM(C7:L7)</f>
        <v>71.75</v>
      </c>
      <c r="N7" s="12" t="n">
        <f aca="false">IF(Tham_so!$B$11="cong_suc",C7,SUMIFS(Huy_dong!$C$2:$C$100,Huy_dong!$A$2:$A$100,$A7,Huy_dong!$B$2:$B$100,"S1"))*INDEX(Bang_luong!$L$2:$L$13,MATCH($A7,Bang_luong!$B$2:$B$13,0))</f>
        <v>20829545.4545455</v>
      </c>
      <c r="O7" s="12" t="n">
        <f aca="false">IF(Tham_so!$B$11="cong_suc",D7,SUMIFS(Huy_dong!$C$2:$C$100,Huy_dong!$A$2:$A$100,$A7,Huy_dong!$B$2:$B$100,"S2"))*INDEX(Bang_luong!$L$2:$L$13,MATCH($A7,Bang_luong!$B$2:$B$13,0))</f>
        <v>21363636.3636364</v>
      </c>
      <c r="P7" s="12" t="n">
        <f aca="false">IF(Tham_so!$B$11="cong_suc",E7,SUMIFS(Huy_dong!$C$2:$C$100,Huy_dong!$A$2:$A$100,$A7,Huy_dong!$B$2:$B$100,"S3"))*INDEX(Bang_luong!$L$2:$L$13,MATCH($A7,Bang_luong!$B$2:$B$13,0))</f>
        <v>25636363.6363636</v>
      </c>
      <c r="Q7" s="12" t="n">
        <f aca="false">IF(Tham_so!$B$11="cong_suc",F7,SUMIFS(Huy_dong!$C$2:$C$100,Huy_dong!$A$2:$A$100,$A7,Huy_dong!$B$2:$B$100,"S4"))*INDEX(Bang_luong!$L$2:$L$13,MATCH($A7,Bang_luong!$B$2:$B$13,0))</f>
        <v>21363636.3636364</v>
      </c>
      <c r="R7" s="12" t="n">
        <f aca="false">IF(Tham_so!$B$11="cong_suc",G7,SUMIFS(Huy_dong!$C$2:$C$100,Huy_dong!$A$2:$A$100,$A7,Huy_dong!$B$2:$B$100,"S5"))*INDEX(Bang_luong!$L$2:$L$13,MATCH($A7,Bang_luong!$B$2:$B$13,0))</f>
        <v>13886363.6363636</v>
      </c>
      <c r="S7" s="12" t="n">
        <f aca="false">IF(Tham_so!$B$11="cong_suc",H7,SUMIFS(Huy_dong!$C$2:$C$100,Huy_dong!$A$2:$A$100,$A7,Huy_dong!$B$2:$B$100,"S6"))*INDEX(Bang_luong!$L$2:$L$13,MATCH($A7,Bang_luong!$B$2:$B$13,0))</f>
        <v>20295454.5454545</v>
      </c>
      <c r="T7" s="12" t="n">
        <f aca="false">IF(Tham_so!$B$11="cong_suc",I7,SUMIFS(Huy_dong!$C$2:$C$100,Huy_dong!$A$2:$A$100,$A7,Huy_dong!$B$2:$B$100,"S7"))*INDEX(Bang_luong!$L$2:$L$13,MATCH($A7,Bang_luong!$B$2:$B$13,0))</f>
        <v>0</v>
      </c>
      <c r="U7" s="12" t="n">
        <f aca="false">IF(Tham_so!$B$11="cong_suc",J7,SUMIFS(Huy_dong!$C$2:$C$100,Huy_dong!$A$2:$A$100,$A7,Huy_dong!$B$2:$B$100,"S8"))*INDEX(Bang_luong!$L$2:$L$13,MATCH($A7,Bang_luong!$B$2:$B$13,0))</f>
        <v>16022727.2727273</v>
      </c>
      <c r="V7" s="12" t="n">
        <f aca="false">IF(Tham_so!$B$11="cong_suc",K7,SUMIFS(Huy_dong!$C$2:$C$100,Huy_dong!$A$2:$A$100,$A7,Huy_dong!$B$2:$B$100,"S9"))*INDEX(Bang_luong!$L$2:$L$13,MATCH($A7,Bang_luong!$B$2:$B$13,0))</f>
        <v>13886363.6363636</v>
      </c>
      <c r="W7" s="12" t="n">
        <f aca="false">IF(Tham_so!$B$11="cong_suc",L7,SUMIFS(Huy_dong!$C$2:$C$100,Huy_dong!$A$2:$A$100,$A7,Huy_dong!$B$2:$B$100,"KT"))*INDEX(Bang_luong!$L$2:$L$13,MATCH($A7,Bang_luong!$B$2:$B$13,0))</f>
        <v>0</v>
      </c>
      <c r="X7" s="12" t="n">
        <f aca="false">SUM(N7:W7)</f>
        <v>153284090.909091</v>
      </c>
    </row>
    <row r="8" customFormat="false" ht="15" hidden="false" customHeight="false" outlineLevel="0" collapsed="false">
      <c r="A8" s="6" t="s">
        <v>56</v>
      </c>
      <c r="B8" s="6" t="s">
        <v>57</v>
      </c>
      <c r="C8" s="8" t="n">
        <f aca="false">SUMIFS(Nhat_ky!$E$2:$E$989,Nhat_ky!$C$2:$C$989,$A8,Nhat_ky!$B$2:$B$989,"S1")</f>
        <v>4</v>
      </c>
      <c r="D8" s="8" t="n">
        <f aca="false">SUMIFS(Nhat_ky!$E$2:$E$989,Nhat_ky!$C$2:$C$989,$A8,Nhat_ky!$B$2:$B$989,"S2")</f>
        <v>9</v>
      </c>
      <c r="E8" s="8" t="n">
        <f aca="false">SUMIFS(Nhat_ky!$E$2:$E$989,Nhat_ky!$C$2:$C$989,$A8,Nhat_ky!$B$2:$B$989,"S3")</f>
        <v>9</v>
      </c>
      <c r="F8" s="8" t="n">
        <f aca="false">SUMIFS(Nhat_ky!$E$2:$E$989,Nhat_ky!$C$2:$C$989,$A8,Nhat_ky!$B$2:$B$989,"S4")</f>
        <v>9</v>
      </c>
      <c r="G8" s="8" t="n">
        <f aca="false">SUMIFS(Nhat_ky!$E$2:$E$989,Nhat_ky!$C$2:$C$989,$A8,Nhat_ky!$B$2:$B$989,"S5")</f>
        <v>6.5</v>
      </c>
      <c r="H8" s="8" t="n">
        <f aca="false">SUMIFS(Nhat_ky!$E$2:$E$989,Nhat_ky!$C$2:$C$989,$A8,Nhat_ky!$B$2:$B$989,"S6")</f>
        <v>9.5</v>
      </c>
      <c r="I8" s="8" t="n">
        <f aca="false">SUMIFS(Nhat_ky!$E$2:$E$989,Nhat_ky!$C$2:$C$989,$A8,Nhat_ky!$B$2:$B$989,"S7")</f>
        <v>10</v>
      </c>
      <c r="J8" s="8" t="n">
        <f aca="false">SUMIFS(Nhat_ky!$E$2:$E$989,Nhat_ky!$C$2:$C$989,$A8,Nhat_ky!$B$2:$B$989,"S8")</f>
        <v>2</v>
      </c>
      <c r="K8" s="8" t="n">
        <f aca="false">SUMIFS(Nhat_ky!$E$2:$E$989,Nhat_ky!$C$2:$C$989,$A8,Nhat_ky!$B$2:$B$989,"S9")</f>
        <v>8</v>
      </c>
      <c r="L8" s="8" t="n">
        <f aca="false">SUMIFS(Nhat_ky!$E$2:$E$989,Nhat_ky!$C$2:$C$989,$A8,Nhat_ky!$B$2:$B$989,"KT")</f>
        <v>0</v>
      </c>
      <c r="M8" s="9" t="n">
        <f aca="false">SUM(C8:L8)</f>
        <v>67</v>
      </c>
      <c r="N8" s="12" t="n">
        <f aca="false">IF(Tham_so!$B$11="cong_suc",C8,SUMIFS(Huy_dong!$C$2:$C$100,Huy_dong!$A$2:$A$100,$A8,Huy_dong!$B$2:$B$100,"S1"))*INDEX(Bang_luong!$L$2:$L$13,MATCH($A8,Bang_luong!$B$2:$B$13,0))</f>
        <v>5454545.45454545</v>
      </c>
      <c r="O8" s="12" t="n">
        <f aca="false">IF(Tham_so!$B$11="cong_suc",D8,SUMIFS(Huy_dong!$C$2:$C$100,Huy_dong!$A$2:$A$100,$A8,Huy_dong!$B$2:$B$100,"S2"))*INDEX(Bang_luong!$L$2:$L$13,MATCH($A8,Bang_luong!$B$2:$B$13,0))</f>
        <v>12272727.2727273</v>
      </c>
      <c r="P8" s="12" t="n">
        <f aca="false">IF(Tham_so!$B$11="cong_suc",E8,SUMIFS(Huy_dong!$C$2:$C$100,Huy_dong!$A$2:$A$100,$A8,Huy_dong!$B$2:$B$100,"S3"))*INDEX(Bang_luong!$L$2:$L$13,MATCH($A8,Bang_luong!$B$2:$B$13,0))</f>
        <v>12272727.2727273</v>
      </c>
      <c r="Q8" s="12" t="n">
        <f aca="false">IF(Tham_so!$B$11="cong_suc",F8,SUMIFS(Huy_dong!$C$2:$C$100,Huy_dong!$A$2:$A$100,$A8,Huy_dong!$B$2:$B$100,"S4"))*INDEX(Bang_luong!$L$2:$L$13,MATCH($A8,Bang_luong!$B$2:$B$13,0))</f>
        <v>12272727.2727273</v>
      </c>
      <c r="R8" s="12" t="n">
        <f aca="false">IF(Tham_so!$B$11="cong_suc",G8,SUMIFS(Huy_dong!$C$2:$C$100,Huy_dong!$A$2:$A$100,$A8,Huy_dong!$B$2:$B$100,"S5"))*INDEX(Bang_luong!$L$2:$L$13,MATCH($A8,Bang_luong!$B$2:$B$13,0))</f>
        <v>8863636.36363636</v>
      </c>
      <c r="S8" s="12" t="n">
        <f aca="false">IF(Tham_so!$B$11="cong_suc",H8,SUMIFS(Huy_dong!$C$2:$C$100,Huy_dong!$A$2:$A$100,$A8,Huy_dong!$B$2:$B$100,"S6"))*INDEX(Bang_luong!$L$2:$L$13,MATCH($A8,Bang_luong!$B$2:$B$13,0))</f>
        <v>12954545.4545455</v>
      </c>
      <c r="T8" s="12" t="n">
        <f aca="false">IF(Tham_so!$B$11="cong_suc",I8,SUMIFS(Huy_dong!$C$2:$C$100,Huy_dong!$A$2:$A$100,$A8,Huy_dong!$B$2:$B$100,"S7"))*INDEX(Bang_luong!$L$2:$L$13,MATCH($A8,Bang_luong!$B$2:$B$13,0))</f>
        <v>13636363.6363636</v>
      </c>
      <c r="U8" s="12" t="n">
        <f aca="false">IF(Tham_so!$B$11="cong_suc",J8,SUMIFS(Huy_dong!$C$2:$C$100,Huy_dong!$A$2:$A$100,$A8,Huy_dong!$B$2:$B$100,"S8"))*INDEX(Bang_luong!$L$2:$L$13,MATCH($A8,Bang_luong!$B$2:$B$13,0))</f>
        <v>2727272.72727273</v>
      </c>
      <c r="V8" s="12" t="n">
        <f aca="false">IF(Tham_so!$B$11="cong_suc",K8,SUMIFS(Huy_dong!$C$2:$C$100,Huy_dong!$A$2:$A$100,$A8,Huy_dong!$B$2:$B$100,"S9"))*INDEX(Bang_luong!$L$2:$L$13,MATCH($A8,Bang_luong!$B$2:$B$13,0))</f>
        <v>10909090.9090909</v>
      </c>
      <c r="W8" s="12" t="n">
        <f aca="false">IF(Tham_so!$B$11="cong_suc",L8,SUMIFS(Huy_dong!$C$2:$C$100,Huy_dong!$A$2:$A$100,$A8,Huy_dong!$B$2:$B$100,"KT"))*INDEX(Bang_luong!$L$2:$L$13,MATCH($A8,Bang_luong!$B$2:$B$13,0))</f>
        <v>0</v>
      </c>
      <c r="X8" s="12" t="n">
        <f aca="false">SUM(N8:W8)</f>
        <v>91363636.3636364</v>
      </c>
    </row>
    <row r="9" customFormat="false" ht="15" hidden="false" customHeight="false" outlineLevel="0" collapsed="false">
      <c r="A9" s="6" t="s">
        <v>58</v>
      </c>
      <c r="B9" s="6" t="s">
        <v>59</v>
      </c>
      <c r="C9" s="8" t="n">
        <f aca="false">SUMIFS(Nhat_ky!$E$2:$E$989,Nhat_ky!$C$2:$C$989,$A9,Nhat_ky!$B$2:$B$989,"S1")</f>
        <v>0</v>
      </c>
      <c r="D9" s="8" t="n">
        <f aca="false">SUMIFS(Nhat_ky!$E$2:$E$989,Nhat_ky!$C$2:$C$989,$A9,Nhat_ky!$B$2:$B$989,"S2")</f>
        <v>4</v>
      </c>
      <c r="E9" s="8" t="n">
        <f aca="false">SUMIFS(Nhat_ky!$E$2:$E$989,Nhat_ky!$C$2:$C$989,$A9,Nhat_ky!$B$2:$B$989,"S3")</f>
        <v>13</v>
      </c>
      <c r="F9" s="8" t="n">
        <f aca="false">SUMIFS(Nhat_ky!$E$2:$E$989,Nhat_ky!$C$2:$C$989,$A9,Nhat_ky!$B$2:$B$989,"S4")</f>
        <v>10</v>
      </c>
      <c r="G9" s="8" t="n">
        <f aca="false">SUMIFS(Nhat_ky!$E$2:$E$989,Nhat_ky!$C$2:$C$989,$A9,Nhat_ky!$B$2:$B$989,"S5")</f>
        <v>8.25</v>
      </c>
      <c r="H9" s="8" t="n">
        <f aca="false">SUMIFS(Nhat_ky!$E$2:$E$989,Nhat_ky!$C$2:$C$989,$A9,Nhat_ky!$B$2:$B$989,"S6")</f>
        <v>5</v>
      </c>
      <c r="I9" s="8" t="n">
        <f aca="false">SUMIFS(Nhat_ky!$E$2:$E$989,Nhat_ky!$C$2:$C$989,$A9,Nhat_ky!$B$2:$B$989,"S7")</f>
        <v>10</v>
      </c>
      <c r="J9" s="8" t="n">
        <f aca="false">SUMIFS(Nhat_ky!$E$2:$E$989,Nhat_ky!$C$2:$C$989,$A9,Nhat_ky!$B$2:$B$989,"S8")</f>
        <v>4</v>
      </c>
      <c r="K9" s="8" t="n">
        <f aca="false">SUMIFS(Nhat_ky!$E$2:$E$989,Nhat_ky!$C$2:$C$989,$A9,Nhat_ky!$B$2:$B$989,"S9")</f>
        <v>10</v>
      </c>
      <c r="L9" s="8" t="n">
        <f aca="false">SUMIFS(Nhat_ky!$E$2:$E$989,Nhat_ky!$C$2:$C$989,$A9,Nhat_ky!$B$2:$B$989,"KT")</f>
        <v>0</v>
      </c>
      <c r="M9" s="9" t="n">
        <f aca="false">SUM(C9:L9)</f>
        <v>64.25</v>
      </c>
      <c r="N9" s="12" t="n">
        <f aca="false">IF(Tham_so!$B$11="cong_suc",C9,SUMIFS(Huy_dong!$C$2:$C$100,Huy_dong!$A$2:$A$100,$A9,Huy_dong!$B$2:$B$100,"S1"))*INDEX(Bang_luong!$L$2:$L$13,MATCH($A9,Bang_luong!$B$2:$B$13,0))</f>
        <v>0</v>
      </c>
      <c r="O9" s="12" t="n">
        <f aca="false">IF(Tham_so!$B$11="cong_suc",D9,SUMIFS(Huy_dong!$C$2:$C$100,Huy_dong!$A$2:$A$100,$A9,Huy_dong!$B$2:$B$100,"S2"))*INDEX(Bang_luong!$L$2:$L$13,MATCH($A9,Bang_luong!$B$2:$B$13,0))</f>
        <v>5454545.45454545</v>
      </c>
      <c r="P9" s="12" t="n">
        <f aca="false">IF(Tham_so!$B$11="cong_suc",E9,SUMIFS(Huy_dong!$C$2:$C$100,Huy_dong!$A$2:$A$100,$A9,Huy_dong!$B$2:$B$100,"S3"))*INDEX(Bang_luong!$L$2:$L$13,MATCH($A9,Bang_luong!$B$2:$B$13,0))</f>
        <v>17727272.7272727</v>
      </c>
      <c r="Q9" s="12" t="n">
        <f aca="false">IF(Tham_so!$B$11="cong_suc",F9,SUMIFS(Huy_dong!$C$2:$C$100,Huy_dong!$A$2:$A$100,$A9,Huy_dong!$B$2:$B$100,"S4"))*INDEX(Bang_luong!$L$2:$L$13,MATCH($A9,Bang_luong!$B$2:$B$13,0))</f>
        <v>13636363.6363636</v>
      </c>
      <c r="R9" s="12" t="n">
        <f aca="false">IF(Tham_so!$B$11="cong_suc",G9,SUMIFS(Huy_dong!$C$2:$C$100,Huy_dong!$A$2:$A$100,$A9,Huy_dong!$B$2:$B$100,"S5"))*INDEX(Bang_luong!$L$2:$L$13,MATCH($A9,Bang_luong!$B$2:$B$13,0))</f>
        <v>11250000</v>
      </c>
      <c r="S9" s="12" t="n">
        <f aca="false">IF(Tham_so!$B$11="cong_suc",H9,SUMIFS(Huy_dong!$C$2:$C$100,Huy_dong!$A$2:$A$100,$A9,Huy_dong!$B$2:$B$100,"S6"))*INDEX(Bang_luong!$L$2:$L$13,MATCH($A9,Bang_luong!$B$2:$B$13,0))</f>
        <v>6818181.81818182</v>
      </c>
      <c r="T9" s="12" t="n">
        <f aca="false">IF(Tham_so!$B$11="cong_suc",I9,SUMIFS(Huy_dong!$C$2:$C$100,Huy_dong!$A$2:$A$100,$A9,Huy_dong!$B$2:$B$100,"S7"))*INDEX(Bang_luong!$L$2:$L$13,MATCH($A9,Bang_luong!$B$2:$B$13,0))</f>
        <v>13636363.6363636</v>
      </c>
      <c r="U9" s="12" t="n">
        <f aca="false">IF(Tham_so!$B$11="cong_suc",J9,SUMIFS(Huy_dong!$C$2:$C$100,Huy_dong!$A$2:$A$100,$A9,Huy_dong!$B$2:$B$100,"S8"))*INDEX(Bang_luong!$L$2:$L$13,MATCH($A9,Bang_luong!$B$2:$B$13,0))</f>
        <v>5454545.45454545</v>
      </c>
      <c r="V9" s="12" t="n">
        <f aca="false">IF(Tham_so!$B$11="cong_suc",K9,SUMIFS(Huy_dong!$C$2:$C$100,Huy_dong!$A$2:$A$100,$A9,Huy_dong!$B$2:$B$100,"S9"))*INDEX(Bang_luong!$L$2:$L$13,MATCH($A9,Bang_luong!$B$2:$B$13,0))</f>
        <v>13636363.6363636</v>
      </c>
      <c r="W9" s="12" t="n">
        <f aca="false">IF(Tham_so!$B$11="cong_suc",L9,SUMIFS(Huy_dong!$C$2:$C$100,Huy_dong!$A$2:$A$100,$A9,Huy_dong!$B$2:$B$100,"KT"))*INDEX(Bang_luong!$L$2:$L$13,MATCH($A9,Bang_luong!$B$2:$B$13,0))</f>
        <v>0</v>
      </c>
      <c r="X9" s="12" t="n">
        <f aca="false">SUM(N9:W9)</f>
        <v>87613636.3636364</v>
      </c>
    </row>
    <row r="10" customFormat="false" ht="15" hidden="false" customHeight="false" outlineLevel="0" collapsed="false">
      <c r="A10" s="6" t="s">
        <v>60</v>
      </c>
      <c r="B10" s="6" t="s">
        <v>61</v>
      </c>
      <c r="C10" s="8" t="n">
        <f aca="false">SUMIFS(Nhat_ky!$E$2:$E$989,Nhat_ky!$C$2:$C$989,$A10,Nhat_ky!$B$2:$B$989,"S1")</f>
        <v>3</v>
      </c>
      <c r="D10" s="8" t="n">
        <f aca="false">SUMIFS(Nhat_ky!$E$2:$E$989,Nhat_ky!$C$2:$C$989,$A10,Nhat_ky!$B$2:$B$989,"S2")</f>
        <v>4</v>
      </c>
      <c r="E10" s="8" t="n">
        <f aca="false">SUMIFS(Nhat_ky!$E$2:$E$989,Nhat_ky!$C$2:$C$989,$A10,Nhat_ky!$B$2:$B$989,"S3")</f>
        <v>12.5</v>
      </c>
      <c r="F10" s="8" t="n">
        <f aca="false">SUMIFS(Nhat_ky!$E$2:$E$989,Nhat_ky!$C$2:$C$989,$A10,Nhat_ky!$B$2:$B$989,"S4")</f>
        <v>7.5</v>
      </c>
      <c r="G10" s="8" t="n">
        <f aca="false">SUMIFS(Nhat_ky!$E$2:$E$989,Nhat_ky!$C$2:$C$989,$A10,Nhat_ky!$B$2:$B$989,"S5")</f>
        <v>7.25</v>
      </c>
      <c r="H10" s="8" t="n">
        <f aca="false">SUMIFS(Nhat_ky!$E$2:$E$989,Nhat_ky!$C$2:$C$989,$A10,Nhat_ky!$B$2:$B$989,"S6")</f>
        <v>6</v>
      </c>
      <c r="I10" s="8" t="n">
        <f aca="false">SUMIFS(Nhat_ky!$E$2:$E$989,Nhat_ky!$C$2:$C$989,$A10,Nhat_ky!$B$2:$B$989,"S7")</f>
        <v>8</v>
      </c>
      <c r="J10" s="8" t="n">
        <f aca="false">SUMIFS(Nhat_ky!$E$2:$E$989,Nhat_ky!$C$2:$C$989,$A10,Nhat_ky!$B$2:$B$989,"S8")</f>
        <v>8</v>
      </c>
      <c r="K10" s="8" t="n">
        <f aca="false">SUMIFS(Nhat_ky!$E$2:$E$989,Nhat_ky!$C$2:$C$989,$A10,Nhat_ky!$B$2:$B$989,"S9")</f>
        <v>4</v>
      </c>
      <c r="L10" s="8" t="n">
        <f aca="false">SUMIFS(Nhat_ky!$E$2:$E$989,Nhat_ky!$C$2:$C$989,$A10,Nhat_ky!$B$2:$B$989,"KT")</f>
        <v>0</v>
      </c>
      <c r="M10" s="9" t="n">
        <f aca="false">SUM(C10:L10)</f>
        <v>60.25</v>
      </c>
      <c r="N10" s="12" t="n">
        <f aca="false">IF(Tham_so!$B$11="cong_suc",C10,SUMIFS(Huy_dong!$C$2:$C$100,Huy_dong!$A$2:$A$100,$A10,Huy_dong!$B$2:$B$100,"S1"))*INDEX(Bang_luong!$L$2:$L$13,MATCH($A10,Bang_luong!$B$2:$B$13,0))</f>
        <v>4090909.09090909</v>
      </c>
      <c r="O10" s="12" t="n">
        <f aca="false">IF(Tham_so!$B$11="cong_suc",D10,SUMIFS(Huy_dong!$C$2:$C$100,Huy_dong!$A$2:$A$100,$A10,Huy_dong!$B$2:$B$100,"S2"))*INDEX(Bang_luong!$L$2:$L$13,MATCH($A10,Bang_luong!$B$2:$B$13,0))</f>
        <v>5454545.45454545</v>
      </c>
      <c r="P10" s="12" t="n">
        <f aca="false">IF(Tham_so!$B$11="cong_suc",E10,SUMIFS(Huy_dong!$C$2:$C$100,Huy_dong!$A$2:$A$100,$A10,Huy_dong!$B$2:$B$100,"S3"))*INDEX(Bang_luong!$L$2:$L$13,MATCH($A10,Bang_luong!$B$2:$B$13,0))</f>
        <v>17045454.5454545</v>
      </c>
      <c r="Q10" s="12" t="n">
        <f aca="false">IF(Tham_so!$B$11="cong_suc",F10,SUMIFS(Huy_dong!$C$2:$C$100,Huy_dong!$A$2:$A$100,$A10,Huy_dong!$B$2:$B$100,"S4"))*INDEX(Bang_luong!$L$2:$L$13,MATCH($A10,Bang_luong!$B$2:$B$13,0))</f>
        <v>10227272.7272727</v>
      </c>
      <c r="R10" s="12" t="n">
        <f aca="false">IF(Tham_so!$B$11="cong_suc",G10,SUMIFS(Huy_dong!$C$2:$C$100,Huy_dong!$A$2:$A$100,$A10,Huy_dong!$B$2:$B$100,"S5"))*INDEX(Bang_luong!$L$2:$L$13,MATCH($A10,Bang_luong!$B$2:$B$13,0))</f>
        <v>9886363.63636364</v>
      </c>
      <c r="S10" s="12" t="n">
        <f aca="false">IF(Tham_so!$B$11="cong_suc",H10,SUMIFS(Huy_dong!$C$2:$C$100,Huy_dong!$A$2:$A$100,$A10,Huy_dong!$B$2:$B$100,"S6"))*INDEX(Bang_luong!$L$2:$L$13,MATCH($A10,Bang_luong!$B$2:$B$13,0))</f>
        <v>8181818.18181818</v>
      </c>
      <c r="T10" s="12" t="n">
        <f aca="false">IF(Tham_so!$B$11="cong_suc",I10,SUMIFS(Huy_dong!$C$2:$C$100,Huy_dong!$A$2:$A$100,$A10,Huy_dong!$B$2:$B$100,"S7"))*INDEX(Bang_luong!$L$2:$L$13,MATCH($A10,Bang_luong!$B$2:$B$13,0))</f>
        <v>10909090.9090909</v>
      </c>
      <c r="U10" s="12" t="n">
        <f aca="false">IF(Tham_so!$B$11="cong_suc",J10,SUMIFS(Huy_dong!$C$2:$C$100,Huy_dong!$A$2:$A$100,$A10,Huy_dong!$B$2:$B$100,"S8"))*INDEX(Bang_luong!$L$2:$L$13,MATCH($A10,Bang_luong!$B$2:$B$13,0))</f>
        <v>10909090.9090909</v>
      </c>
      <c r="V10" s="12" t="n">
        <f aca="false">IF(Tham_so!$B$11="cong_suc",K10,SUMIFS(Huy_dong!$C$2:$C$100,Huy_dong!$A$2:$A$100,$A10,Huy_dong!$B$2:$B$100,"S9"))*INDEX(Bang_luong!$L$2:$L$13,MATCH($A10,Bang_luong!$B$2:$B$13,0))</f>
        <v>5454545.45454545</v>
      </c>
      <c r="W10" s="12" t="n">
        <f aca="false">IF(Tham_so!$B$11="cong_suc",L10,SUMIFS(Huy_dong!$C$2:$C$100,Huy_dong!$A$2:$A$100,$A10,Huy_dong!$B$2:$B$100,"KT"))*INDEX(Bang_luong!$L$2:$L$13,MATCH($A10,Bang_luong!$B$2:$B$13,0))</f>
        <v>0</v>
      </c>
      <c r="X10" s="12" t="n">
        <f aca="false">SUM(N10:W10)</f>
        <v>82159090.9090909</v>
      </c>
    </row>
    <row r="11" customFormat="false" ht="15" hidden="false" customHeight="false" outlineLevel="0" collapsed="false">
      <c r="A11" s="6" t="s">
        <v>62</v>
      </c>
      <c r="B11" s="6" t="s">
        <v>63</v>
      </c>
      <c r="C11" s="8" t="n">
        <f aca="false">SUMIFS(Nhat_ky!$E$2:$E$989,Nhat_ky!$C$2:$C$989,$A11,Nhat_ky!$B$2:$B$989,"S1")</f>
        <v>0</v>
      </c>
      <c r="D11" s="8" t="n">
        <f aca="false">SUMIFS(Nhat_ky!$E$2:$E$989,Nhat_ky!$C$2:$C$989,$A11,Nhat_ky!$B$2:$B$989,"S2")</f>
        <v>3.5</v>
      </c>
      <c r="E11" s="8" t="n">
        <f aca="false">SUMIFS(Nhat_ky!$E$2:$E$989,Nhat_ky!$C$2:$C$989,$A11,Nhat_ky!$B$2:$B$989,"S3")</f>
        <v>10</v>
      </c>
      <c r="F11" s="8" t="n">
        <f aca="false">SUMIFS(Nhat_ky!$E$2:$E$989,Nhat_ky!$C$2:$C$989,$A11,Nhat_ky!$B$2:$B$989,"S4")</f>
        <v>10</v>
      </c>
      <c r="G11" s="8" t="n">
        <f aca="false">SUMIFS(Nhat_ky!$E$2:$E$989,Nhat_ky!$C$2:$C$989,$A11,Nhat_ky!$B$2:$B$989,"S5")</f>
        <v>9.25</v>
      </c>
      <c r="H11" s="8" t="n">
        <f aca="false">SUMIFS(Nhat_ky!$E$2:$E$989,Nhat_ky!$C$2:$C$989,$A11,Nhat_ky!$B$2:$B$989,"S6")</f>
        <v>2.5</v>
      </c>
      <c r="I11" s="8" t="n">
        <f aca="false">SUMIFS(Nhat_ky!$E$2:$E$989,Nhat_ky!$C$2:$C$989,$A11,Nhat_ky!$B$2:$B$989,"S7")</f>
        <v>7</v>
      </c>
      <c r="J11" s="8" t="n">
        <f aca="false">SUMIFS(Nhat_ky!$E$2:$E$989,Nhat_ky!$C$2:$C$989,$A11,Nhat_ky!$B$2:$B$989,"S8")</f>
        <v>2</v>
      </c>
      <c r="K11" s="8" t="n">
        <f aca="false">SUMIFS(Nhat_ky!$E$2:$E$989,Nhat_ky!$C$2:$C$989,$A11,Nhat_ky!$B$2:$B$989,"S9")</f>
        <v>5.5</v>
      </c>
      <c r="L11" s="8" t="n">
        <f aca="false">SUMIFS(Nhat_ky!$E$2:$E$989,Nhat_ky!$C$2:$C$989,$A11,Nhat_ky!$B$2:$B$989,"KT")</f>
        <v>0</v>
      </c>
      <c r="M11" s="9" t="n">
        <f aca="false">SUM(C11:L11)</f>
        <v>49.75</v>
      </c>
      <c r="N11" s="12" t="n">
        <f aca="false">IF(Tham_so!$B$11="cong_suc",C11,SUMIFS(Huy_dong!$C$2:$C$100,Huy_dong!$A$2:$A$100,$A11,Huy_dong!$B$2:$B$100,"S1"))*INDEX(Bang_luong!$L$2:$L$13,MATCH($A11,Bang_luong!$B$2:$B$13,0))</f>
        <v>0</v>
      </c>
      <c r="O11" s="12" t="n">
        <f aca="false">IF(Tham_so!$B$11="cong_suc",D11,SUMIFS(Huy_dong!$C$2:$C$100,Huy_dong!$A$2:$A$100,$A11,Huy_dong!$B$2:$B$100,"S2"))*INDEX(Bang_luong!$L$2:$L$13,MATCH($A11,Bang_luong!$B$2:$B$13,0))</f>
        <v>3818181.81818182</v>
      </c>
      <c r="P11" s="12" t="n">
        <f aca="false">IF(Tham_so!$B$11="cong_suc",E11,SUMIFS(Huy_dong!$C$2:$C$100,Huy_dong!$A$2:$A$100,$A11,Huy_dong!$B$2:$B$100,"S3"))*INDEX(Bang_luong!$L$2:$L$13,MATCH($A11,Bang_luong!$B$2:$B$13,0))</f>
        <v>10909090.9090909</v>
      </c>
      <c r="Q11" s="12" t="n">
        <f aca="false">IF(Tham_so!$B$11="cong_suc",F11,SUMIFS(Huy_dong!$C$2:$C$100,Huy_dong!$A$2:$A$100,$A11,Huy_dong!$B$2:$B$100,"S4"))*INDEX(Bang_luong!$L$2:$L$13,MATCH($A11,Bang_luong!$B$2:$B$13,0))</f>
        <v>10909090.9090909</v>
      </c>
      <c r="R11" s="12" t="n">
        <f aca="false">IF(Tham_so!$B$11="cong_suc",G11,SUMIFS(Huy_dong!$C$2:$C$100,Huy_dong!$A$2:$A$100,$A11,Huy_dong!$B$2:$B$100,"S5"))*INDEX(Bang_luong!$L$2:$L$13,MATCH($A11,Bang_luong!$B$2:$B$13,0))</f>
        <v>10090909.0909091</v>
      </c>
      <c r="S11" s="12" t="n">
        <f aca="false">IF(Tham_so!$B$11="cong_suc",H11,SUMIFS(Huy_dong!$C$2:$C$100,Huy_dong!$A$2:$A$100,$A11,Huy_dong!$B$2:$B$100,"S6"))*INDEX(Bang_luong!$L$2:$L$13,MATCH($A11,Bang_luong!$B$2:$B$13,0))</f>
        <v>2727272.72727273</v>
      </c>
      <c r="T11" s="12" t="n">
        <f aca="false">IF(Tham_so!$B$11="cong_suc",I11,SUMIFS(Huy_dong!$C$2:$C$100,Huy_dong!$A$2:$A$100,$A11,Huy_dong!$B$2:$B$100,"S7"))*INDEX(Bang_luong!$L$2:$L$13,MATCH($A11,Bang_luong!$B$2:$B$13,0))</f>
        <v>7636363.63636364</v>
      </c>
      <c r="U11" s="12" t="n">
        <f aca="false">IF(Tham_so!$B$11="cong_suc",J11,SUMIFS(Huy_dong!$C$2:$C$100,Huy_dong!$A$2:$A$100,$A11,Huy_dong!$B$2:$B$100,"S8"))*INDEX(Bang_luong!$L$2:$L$13,MATCH($A11,Bang_luong!$B$2:$B$13,0))</f>
        <v>2181818.18181818</v>
      </c>
      <c r="V11" s="12" t="n">
        <f aca="false">IF(Tham_so!$B$11="cong_suc",K11,SUMIFS(Huy_dong!$C$2:$C$100,Huy_dong!$A$2:$A$100,$A11,Huy_dong!$B$2:$B$100,"S9"))*INDEX(Bang_luong!$L$2:$L$13,MATCH($A11,Bang_luong!$B$2:$B$13,0))</f>
        <v>6000000</v>
      </c>
      <c r="W11" s="12" t="n">
        <f aca="false">IF(Tham_so!$B$11="cong_suc",L11,SUMIFS(Huy_dong!$C$2:$C$100,Huy_dong!$A$2:$A$100,$A11,Huy_dong!$B$2:$B$100,"KT"))*INDEX(Bang_luong!$L$2:$L$13,MATCH($A11,Bang_luong!$B$2:$B$13,0))</f>
        <v>0</v>
      </c>
      <c r="X11" s="12" t="n">
        <f aca="false">SUM(N11:W11)</f>
        <v>54272727.2727273</v>
      </c>
    </row>
    <row r="12" customFormat="false" ht="15" hidden="false" customHeight="false" outlineLevel="0" collapsed="false">
      <c r="A12" s="6" t="s">
        <v>65</v>
      </c>
      <c r="B12" s="6" t="s">
        <v>66</v>
      </c>
      <c r="C12" s="8" t="n">
        <f aca="false">SUMIFS(Nhat_ky!$E$2:$E$989,Nhat_ky!$C$2:$C$989,$A12,Nhat_ky!$B$2:$B$989,"S1")</f>
        <v>0</v>
      </c>
      <c r="D12" s="8" t="n">
        <f aca="false">SUMIFS(Nhat_ky!$E$2:$E$989,Nhat_ky!$C$2:$C$989,$A12,Nhat_ky!$B$2:$B$989,"S2")</f>
        <v>0</v>
      </c>
      <c r="E12" s="8" t="n">
        <f aca="false">SUMIFS(Nhat_ky!$E$2:$E$989,Nhat_ky!$C$2:$C$989,$A12,Nhat_ky!$B$2:$B$989,"S3")</f>
        <v>6</v>
      </c>
      <c r="F12" s="8" t="n">
        <f aca="false">SUMIFS(Nhat_ky!$E$2:$E$989,Nhat_ky!$C$2:$C$989,$A12,Nhat_ky!$B$2:$B$989,"S4")</f>
        <v>9</v>
      </c>
      <c r="G12" s="8" t="n">
        <f aca="false">SUMIFS(Nhat_ky!$E$2:$E$989,Nhat_ky!$C$2:$C$989,$A12,Nhat_ky!$B$2:$B$989,"S5")</f>
        <v>8.25</v>
      </c>
      <c r="H12" s="8" t="n">
        <f aca="false">SUMIFS(Nhat_ky!$E$2:$E$989,Nhat_ky!$C$2:$C$989,$A12,Nhat_ky!$B$2:$B$989,"S6")</f>
        <v>7.75</v>
      </c>
      <c r="I12" s="8" t="n">
        <f aca="false">SUMIFS(Nhat_ky!$E$2:$E$989,Nhat_ky!$C$2:$C$989,$A12,Nhat_ky!$B$2:$B$989,"S7")</f>
        <v>5.5</v>
      </c>
      <c r="J12" s="8" t="n">
        <f aca="false">SUMIFS(Nhat_ky!$E$2:$E$989,Nhat_ky!$C$2:$C$989,$A12,Nhat_ky!$B$2:$B$989,"S8")</f>
        <v>5</v>
      </c>
      <c r="K12" s="8" t="n">
        <f aca="false">SUMIFS(Nhat_ky!$E$2:$E$989,Nhat_ky!$C$2:$C$989,$A12,Nhat_ky!$B$2:$B$989,"S9")</f>
        <v>7.75</v>
      </c>
      <c r="L12" s="8" t="n">
        <f aca="false">SUMIFS(Nhat_ky!$E$2:$E$989,Nhat_ky!$C$2:$C$989,$A12,Nhat_ky!$B$2:$B$989,"KT")</f>
        <v>0</v>
      </c>
      <c r="M12" s="9" t="n">
        <f aca="false">SUM(C12:L12)</f>
        <v>49.25</v>
      </c>
      <c r="N12" s="12" t="n">
        <f aca="false">IF(Tham_so!$B$11="cong_suc",C12,SUMIFS(Huy_dong!$C$2:$C$100,Huy_dong!$A$2:$A$100,$A12,Huy_dong!$B$2:$B$100,"S1"))*INDEX(Bang_luong!$L$2:$L$13,MATCH($A12,Bang_luong!$B$2:$B$13,0))</f>
        <v>0</v>
      </c>
      <c r="O12" s="12" t="n">
        <f aca="false">IF(Tham_so!$B$11="cong_suc",D12,SUMIFS(Huy_dong!$C$2:$C$100,Huy_dong!$A$2:$A$100,$A12,Huy_dong!$B$2:$B$100,"S2"))*INDEX(Bang_luong!$L$2:$L$13,MATCH($A12,Bang_luong!$B$2:$B$13,0))</f>
        <v>0</v>
      </c>
      <c r="P12" s="12" t="n">
        <f aca="false">IF(Tham_so!$B$11="cong_suc",E12,SUMIFS(Huy_dong!$C$2:$C$100,Huy_dong!$A$2:$A$100,$A12,Huy_dong!$B$2:$B$100,"S3"))*INDEX(Bang_luong!$L$2:$L$13,MATCH($A12,Bang_luong!$B$2:$B$13,0))</f>
        <v>6545454.54545455</v>
      </c>
      <c r="Q12" s="12" t="n">
        <f aca="false">IF(Tham_so!$B$11="cong_suc",F12,SUMIFS(Huy_dong!$C$2:$C$100,Huy_dong!$A$2:$A$100,$A12,Huy_dong!$B$2:$B$100,"S4"))*INDEX(Bang_luong!$L$2:$L$13,MATCH($A12,Bang_luong!$B$2:$B$13,0))</f>
        <v>9818181.81818182</v>
      </c>
      <c r="R12" s="12" t="n">
        <f aca="false">IF(Tham_so!$B$11="cong_suc",G12,SUMIFS(Huy_dong!$C$2:$C$100,Huy_dong!$A$2:$A$100,$A12,Huy_dong!$B$2:$B$100,"S5"))*INDEX(Bang_luong!$L$2:$L$13,MATCH($A12,Bang_luong!$B$2:$B$13,0))</f>
        <v>9000000</v>
      </c>
      <c r="S12" s="12" t="n">
        <f aca="false">IF(Tham_so!$B$11="cong_suc",H12,SUMIFS(Huy_dong!$C$2:$C$100,Huy_dong!$A$2:$A$100,$A12,Huy_dong!$B$2:$B$100,"S6"))*INDEX(Bang_luong!$L$2:$L$13,MATCH($A12,Bang_luong!$B$2:$B$13,0))</f>
        <v>8454545.45454545</v>
      </c>
      <c r="T12" s="12" t="n">
        <f aca="false">IF(Tham_so!$B$11="cong_suc",I12,SUMIFS(Huy_dong!$C$2:$C$100,Huy_dong!$A$2:$A$100,$A12,Huy_dong!$B$2:$B$100,"S7"))*INDEX(Bang_luong!$L$2:$L$13,MATCH($A12,Bang_luong!$B$2:$B$13,0))</f>
        <v>6000000</v>
      </c>
      <c r="U12" s="12" t="n">
        <f aca="false">IF(Tham_so!$B$11="cong_suc",J12,SUMIFS(Huy_dong!$C$2:$C$100,Huy_dong!$A$2:$A$100,$A12,Huy_dong!$B$2:$B$100,"S8"))*INDEX(Bang_luong!$L$2:$L$13,MATCH($A12,Bang_luong!$B$2:$B$13,0))</f>
        <v>5454545.45454545</v>
      </c>
      <c r="V12" s="12" t="n">
        <f aca="false">IF(Tham_so!$B$11="cong_suc",K12,SUMIFS(Huy_dong!$C$2:$C$100,Huy_dong!$A$2:$A$100,$A12,Huy_dong!$B$2:$B$100,"S9"))*INDEX(Bang_luong!$L$2:$L$13,MATCH($A12,Bang_luong!$B$2:$B$13,0))</f>
        <v>8454545.45454545</v>
      </c>
      <c r="W12" s="12" t="n">
        <f aca="false">IF(Tham_so!$B$11="cong_suc",L12,SUMIFS(Huy_dong!$C$2:$C$100,Huy_dong!$A$2:$A$100,$A12,Huy_dong!$B$2:$B$100,"KT"))*INDEX(Bang_luong!$L$2:$L$13,MATCH($A12,Bang_luong!$B$2:$B$13,0))</f>
        <v>0</v>
      </c>
      <c r="X12" s="12" t="n">
        <f aca="false">SUM(N12:W12)</f>
        <v>53727272.7272727</v>
      </c>
    </row>
    <row r="13" customFormat="false" ht="15" hidden="false" customHeight="false" outlineLevel="0" collapsed="false">
      <c r="A13" s="6" t="s">
        <v>67</v>
      </c>
      <c r="B13" s="6" t="s">
        <v>68</v>
      </c>
      <c r="C13" s="8" t="n">
        <f aca="false">SUMIFS(Nhat_ky!$E$2:$E$989,Nhat_ky!$C$2:$C$989,$A13,Nhat_ky!$B$2:$B$989,"S1")</f>
        <v>0</v>
      </c>
      <c r="D13" s="8" t="n">
        <f aca="false">SUMIFS(Nhat_ky!$E$2:$E$989,Nhat_ky!$C$2:$C$989,$A13,Nhat_ky!$B$2:$B$989,"S2")</f>
        <v>0</v>
      </c>
      <c r="E13" s="8" t="n">
        <f aca="false">SUMIFS(Nhat_ky!$E$2:$E$989,Nhat_ky!$C$2:$C$989,$A13,Nhat_ky!$B$2:$B$989,"S3")</f>
        <v>13</v>
      </c>
      <c r="F13" s="8" t="n">
        <f aca="false">SUMIFS(Nhat_ky!$E$2:$E$989,Nhat_ky!$C$2:$C$989,$A13,Nhat_ky!$B$2:$B$989,"S4")</f>
        <v>9.25</v>
      </c>
      <c r="G13" s="8" t="n">
        <f aca="false">SUMIFS(Nhat_ky!$E$2:$E$989,Nhat_ky!$C$2:$C$989,$A13,Nhat_ky!$B$2:$B$989,"S5")</f>
        <v>10</v>
      </c>
      <c r="H13" s="8" t="n">
        <f aca="false">SUMIFS(Nhat_ky!$E$2:$E$989,Nhat_ky!$C$2:$C$989,$A13,Nhat_ky!$B$2:$B$989,"S6")</f>
        <v>10</v>
      </c>
      <c r="I13" s="8" t="n">
        <f aca="false">SUMIFS(Nhat_ky!$E$2:$E$989,Nhat_ky!$C$2:$C$989,$A13,Nhat_ky!$B$2:$B$989,"S7")</f>
        <v>4</v>
      </c>
      <c r="J13" s="8" t="n">
        <f aca="false">SUMIFS(Nhat_ky!$E$2:$E$989,Nhat_ky!$C$2:$C$989,$A13,Nhat_ky!$B$2:$B$989,"S8")</f>
        <v>4.5</v>
      </c>
      <c r="K13" s="8" t="n">
        <f aca="false">SUMIFS(Nhat_ky!$E$2:$E$989,Nhat_ky!$C$2:$C$989,$A13,Nhat_ky!$B$2:$B$989,"S9")</f>
        <v>8</v>
      </c>
      <c r="L13" s="8" t="n">
        <f aca="false">SUMIFS(Nhat_ky!$E$2:$E$989,Nhat_ky!$C$2:$C$989,$A13,Nhat_ky!$B$2:$B$989,"KT")</f>
        <v>0</v>
      </c>
      <c r="M13" s="9" t="n">
        <f aca="false">SUM(C13:L13)</f>
        <v>58.75</v>
      </c>
      <c r="N13" s="12" t="n">
        <f aca="false">IF(Tham_so!$B$11="cong_suc",C13,SUMIFS(Huy_dong!$C$2:$C$100,Huy_dong!$A$2:$A$100,$A13,Huy_dong!$B$2:$B$100,"S1"))*INDEX(Bang_luong!$L$2:$L$13,MATCH($A13,Bang_luong!$B$2:$B$13,0))</f>
        <v>0</v>
      </c>
      <c r="O13" s="12" t="n">
        <f aca="false">IF(Tham_so!$B$11="cong_suc",D13,SUMIFS(Huy_dong!$C$2:$C$100,Huy_dong!$A$2:$A$100,$A13,Huy_dong!$B$2:$B$100,"S2"))*INDEX(Bang_luong!$L$2:$L$13,MATCH($A13,Bang_luong!$B$2:$B$13,0))</f>
        <v>0</v>
      </c>
      <c r="P13" s="12" t="n">
        <f aca="false">IF(Tham_so!$B$11="cong_suc",E13,SUMIFS(Huy_dong!$C$2:$C$100,Huy_dong!$A$2:$A$100,$A13,Huy_dong!$B$2:$B$100,"S3"))*INDEX(Bang_luong!$L$2:$L$13,MATCH($A13,Bang_luong!$B$2:$B$13,0))</f>
        <v>17727272.7272727</v>
      </c>
      <c r="Q13" s="12" t="n">
        <f aca="false">IF(Tham_so!$B$11="cong_suc",F13,SUMIFS(Huy_dong!$C$2:$C$100,Huy_dong!$A$2:$A$100,$A13,Huy_dong!$B$2:$B$100,"S4"))*INDEX(Bang_luong!$L$2:$L$13,MATCH($A13,Bang_luong!$B$2:$B$13,0))</f>
        <v>12613636.3636364</v>
      </c>
      <c r="R13" s="12" t="n">
        <f aca="false">IF(Tham_so!$B$11="cong_suc",G13,SUMIFS(Huy_dong!$C$2:$C$100,Huy_dong!$A$2:$A$100,$A13,Huy_dong!$B$2:$B$100,"S5"))*INDEX(Bang_luong!$L$2:$L$13,MATCH($A13,Bang_luong!$B$2:$B$13,0))</f>
        <v>13636363.6363636</v>
      </c>
      <c r="S13" s="12" t="n">
        <f aca="false">IF(Tham_so!$B$11="cong_suc",H13,SUMIFS(Huy_dong!$C$2:$C$100,Huy_dong!$A$2:$A$100,$A13,Huy_dong!$B$2:$B$100,"S6"))*INDEX(Bang_luong!$L$2:$L$13,MATCH($A13,Bang_luong!$B$2:$B$13,0))</f>
        <v>13636363.6363636</v>
      </c>
      <c r="T13" s="12" t="n">
        <f aca="false">IF(Tham_so!$B$11="cong_suc",I13,SUMIFS(Huy_dong!$C$2:$C$100,Huy_dong!$A$2:$A$100,$A13,Huy_dong!$B$2:$B$100,"S7"))*INDEX(Bang_luong!$L$2:$L$13,MATCH($A13,Bang_luong!$B$2:$B$13,0))</f>
        <v>5454545.45454545</v>
      </c>
      <c r="U13" s="12" t="n">
        <f aca="false">IF(Tham_so!$B$11="cong_suc",J13,SUMIFS(Huy_dong!$C$2:$C$100,Huy_dong!$A$2:$A$100,$A13,Huy_dong!$B$2:$B$100,"S8"))*INDEX(Bang_luong!$L$2:$L$13,MATCH($A13,Bang_luong!$B$2:$B$13,0))</f>
        <v>6136363.63636364</v>
      </c>
      <c r="V13" s="12" t="n">
        <f aca="false">IF(Tham_so!$B$11="cong_suc",K13,SUMIFS(Huy_dong!$C$2:$C$100,Huy_dong!$A$2:$A$100,$A13,Huy_dong!$B$2:$B$100,"S9"))*INDEX(Bang_luong!$L$2:$L$13,MATCH($A13,Bang_luong!$B$2:$B$13,0))</f>
        <v>10909090.9090909</v>
      </c>
      <c r="W13" s="12" t="n">
        <f aca="false">IF(Tham_so!$B$11="cong_suc",L13,SUMIFS(Huy_dong!$C$2:$C$100,Huy_dong!$A$2:$A$100,$A13,Huy_dong!$B$2:$B$100,"KT"))*INDEX(Bang_luong!$L$2:$L$13,MATCH($A13,Bang_luong!$B$2:$B$13,0))</f>
        <v>0</v>
      </c>
      <c r="X13" s="12" t="n">
        <f aca="false">SUM(N13:W13)</f>
        <v>80113636.3636364</v>
      </c>
    </row>
    <row r="14" customFormat="false" ht="15" hidden="false" customHeight="false" outlineLevel="0" collapsed="false">
      <c r="B14" s="13" t="s">
        <v>69</v>
      </c>
      <c r="C14" s="14" t="n">
        <f aca="false">SUM(C2:C13)</f>
        <v>55.25</v>
      </c>
      <c r="D14" s="14" t="n">
        <f aca="false">SUM(D2:D13)</f>
        <v>74</v>
      </c>
      <c r="E14" s="14" t="n">
        <f aca="false">SUM(E2:E13)</f>
        <v>131.25</v>
      </c>
      <c r="F14" s="14" t="n">
        <f aca="false">SUM(F2:F13)</f>
        <v>112.5</v>
      </c>
      <c r="G14" s="14" t="n">
        <f aca="false">SUM(G2:G13)</f>
        <v>89</v>
      </c>
      <c r="H14" s="14" t="n">
        <f aca="false">SUM(H2:H13)</f>
        <v>87.75</v>
      </c>
      <c r="I14" s="14" t="n">
        <f aca="false">SUM(I2:I13)</f>
        <v>60.75</v>
      </c>
      <c r="J14" s="14" t="n">
        <f aca="false">SUM(J2:J13)</f>
        <v>48</v>
      </c>
      <c r="K14" s="14" t="n">
        <f aca="false">SUM(K2:K13)</f>
        <v>76.25</v>
      </c>
      <c r="L14" s="14" t="n">
        <f aca="false">SUM(L2:L13)</f>
        <v>2</v>
      </c>
      <c r="M14" s="14" t="n">
        <f aca="false">SUM(M2:M13)</f>
        <v>736.75</v>
      </c>
      <c r="N14" s="16" t="n">
        <f aca="false">SUM(N2:N13)</f>
        <v>90284090.9090909</v>
      </c>
      <c r="O14" s="16" t="n">
        <f aca="false">SUM(O2:O13)</f>
        <v>114988636.363636</v>
      </c>
      <c r="P14" s="16" t="n">
        <f aca="false">SUM(P2:P13)</f>
        <v>193420454.545455</v>
      </c>
      <c r="Q14" s="16" t="n">
        <f aca="false">SUM(Q2:Q13)</f>
        <v>163522727.272727</v>
      </c>
      <c r="R14" s="16" t="n">
        <f aca="false">SUM(R2:R13)</f>
        <v>123090909.090909</v>
      </c>
      <c r="S14" s="16" t="n">
        <f aca="false">SUM(S2:S13)</f>
        <v>126704545.454545</v>
      </c>
      <c r="T14" s="16" t="n">
        <f aca="false">SUM(T2:T13)</f>
        <v>83352272.7272727</v>
      </c>
      <c r="U14" s="16" t="n">
        <f aca="false">SUM(U2:U13)</f>
        <v>74943181.8181818</v>
      </c>
      <c r="V14" s="16" t="n">
        <f aca="false">SUM(V2:V13)</f>
        <v>107136363.636364</v>
      </c>
      <c r="W14" s="16" t="n">
        <f aca="false">SUM(W2:W13)</f>
        <v>4636363.63636364</v>
      </c>
      <c r="X14" s="16" t="n">
        <f aca="false">SUM(X2:X13)</f>
        <v>1082079545.45455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4" t="s">
        <v>93</v>
      </c>
      <c r="B1" s="4" t="s">
        <v>94</v>
      </c>
      <c r="C1" s="4" t="s">
        <v>95</v>
      </c>
    </row>
    <row r="2" customFormat="false" ht="15" hidden="false" customHeight="false" outlineLevel="0" collapsed="false">
      <c r="A2" s="5" t="s">
        <v>96</v>
      </c>
      <c r="B2" s="18" t="n">
        <v>1581550000</v>
      </c>
      <c r="C2" s="5" t="s">
        <v>97</v>
      </c>
    </row>
    <row r="3" customFormat="false" ht="15" hidden="false" customHeight="false" outlineLevel="0" collapsed="false">
      <c r="A3" s="5" t="s">
        <v>98</v>
      </c>
      <c r="B3" s="18" t="n">
        <v>1327839441</v>
      </c>
      <c r="C3" s="5" t="s">
        <v>99</v>
      </c>
    </row>
    <row r="4" customFormat="false" ht="15" hidden="false" customHeight="false" outlineLevel="0" collapsed="false">
      <c r="A4" s="5" t="s">
        <v>100</v>
      </c>
      <c r="B4" s="8" t="n">
        <f aca="false">Bang_luong!F14</f>
        <v>733</v>
      </c>
      <c r="C4" s="5"/>
    </row>
    <row r="5" customFormat="false" ht="15" hidden="false" customHeight="false" outlineLevel="0" collapsed="false">
      <c r="A5" s="5" t="s">
        <v>101</v>
      </c>
      <c r="B5" s="8" t="n">
        <f aca="false">Bang_luong!G14</f>
        <v>921</v>
      </c>
      <c r="C5" s="5" t="s">
        <v>102</v>
      </c>
    </row>
    <row r="6" customFormat="false" ht="15" hidden="false" customHeight="false" outlineLevel="0" collapsed="false">
      <c r="A6" s="5" t="s">
        <v>103</v>
      </c>
      <c r="B6" s="8" t="n">
        <f aca="false">Bang_luong!H14</f>
        <v>736.75</v>
      </c>
      <c r="C6" s="5"/>
    </row>
    <row r="7" customFormat="false" ht="15" hidden="false" customHeight="false" outlineLevel="0" collapsed="false">
      <c r="A7" s="5" t="s">
        <v>26</v>
      </c>
      <c r="B7" s="8" t="n">
        <f aca="false">Bang_luong!I14</f>
        <v>184.25</v>
      </c>
      <c r="C7" s="5" t="s">
        <v>104</v>
      </c>
    </row>
    <row r="8" customFormat="false" ht="15" hidden="false" customHeight="false" outlineLevel="0" collapsed="false">
      <c r="A8" s="5" t="s">
        <v>105</v>
      </c>
      <c r="B8" s="19" t="n">
        <f aca="false">IF(B5=0,0,B6/B5)</f>
        <v>0.799945711183496</v>
      </c>
      <c r="C8" s="5" t="s">
        <v>106</v>
      </c>
    </row>
    <row r="9" customFormat="false" ht="15" hidden="false" customHeight="false" outlineLevel="0" collapsed="false">
      <c r="A9" s="5" t="s">
        <v>107</v>
      </c>
      <c r="B9" s="11" t="n">
        <f aca="false">Bang_luong!N14</f>
        <v>1082079545.45455</v>
      </c>
      <c r="C9" s="5" t="s">
        <v>108</v>
      </c>
    </row>
    <row r="10" customFormat="false" ht="15" hidden="false" customHeight="false" outlineLevel="0" collapsed="false">
      <c r="A10" s="5" t="s">
        <v>33</v>
      </c>
      <c r="B10" s="11" t="n">
        <f aca="false">Bang_luong!P14</f>
        <v>1336368238.63636</v>
      </c>
      <c r="C10" s="5" t="s">
        <v>109</v>
      </c>
    </row>
    <row r="11" customFormat="false" ht="15" hidden="false" customHeight="false" outlineLevel="0" collapsed="false">
      <c r="A11" s="5" t="s">
        <v>34</v>
      </c>
      <c r="B11" s="11" t="n">
        <f aca="false">Bang_luong!Q14</f>
        <v>0</v>
      </c>
      <c r="C11" s="5" t="s">
        <v>110</v>
      </c>
    </row>
    <row r="12" customFormat="false" ht="15" hidden="false" customHeight="false" outlineLevel="0" collapsed="false">
      <c r="A12" s="5" t="s">
        <v>111</v>
      </c>
      <c r="B12" s="11" t="n">
        <f aca="false">SUMPRODUCT(Bang_luong!F2:F13,Bang_luong!L2:L13)*Tham_so!$B$9</f>
        <v>1327839440.90909</v>
      </c>
      <c r="C12" s="5"/>
    </row>
    <row r="13" customFormat="false" ht="15" hidden="false" customHeight="false" outlineLevel="0" collapsed="false">
      <c r="A13" s="5" t="s">
        <v>112</v>
      </c>
      <c r="B13" s="11" t="n">
        <f aca="false">B10-B3</f>
        <v>8528797.63636375</v>
      </c>
      <c r="C13" s="5" t="s">
        <v>113</v>
      </c>
    </row>
    <row r="14" customFormat="false" ht="15" hidden="false" customHeight="false" outlineLevel="0" collapsed="false">
      <c r="A14" s="5" t="s">
        <v>114</v>
      </c>
      <c r="B14" s="19" t="n">
        <f aca="false">IF(B2=0,0,(B10+B11)/B2)</f>
        <v>0.844973752733941</v>
      </c>
      <c r="C14" s="5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25" hidden="false" customHeight="false" outlineLevel="0" collapsed="false">
      <c r="A1" s="4" t="s">
        <v>22</v>
      </c>
      <c r="B1" s="4" t="s">
        <v>116</v>
      </c>
      <c r="C1" s="4" t="s">
        <v>117</v>
      </c>
      <c r="D1" s="4" t="s">
        <v>29</v>
      </c>
    </row>
    <row r="2" customFormat="false" ht="15" hidden="false" customHeight="false" outlineLevel="0" collapsed="false">
      <c r="A2" s="6" t="s">
        <v>40</v>
      </c>
      <c r="B2" s="6" t="s">
        <v>118</v>
      </c>
      <c r="C2" s="18" t="n">
        <v>51000000</v>
      </c>
      <c r="D2" s="12" t="n">
        <f aca="false">C2/$B$10</f>
        <v>2318181.81818182</v>
      </c>
    </row>
    <row r="3" customFormat="false" ht="15" hidden="false" customHeight="false" outlineLevel="0" collapsed="false">
      <c r="A3" s="6" t="s">
        <v>43</v>
      </c>
      <c r="B3" s="6" t="s">
        <v>119</v>
      </c>
      <c r="C3" s="18" t="n">
        <v>30000000</v>
      </c>
      <c r="D3" s="12" t="n">
        <f aca="false">C3/$B$10</f>
        <v>1363636.36363636</v>
      </c>
    </row>
    <row r="4" customFormat="false" ht="15" hidden="false" customHeight="false" outlineLevel="0" collapsed="false">
      <c r="A4" s="6" t="s">
        <v>46</v>
      </c>
      <c r="B4" s="6" t="s">
        <v>120</v>
      </c>
      <c r="C4" s="18" t="n">
        <v>28000000</v>
      </c>
      <c r="D4" s="12" t="n">
        <f aca="false">C4/$B$10</f>
        <v>1272727.27272727</v>
      </c>
    </row>
    <row r="5" customFormat="false" ht="15" hidden="false" customHeight="false" outlineLevel="0" collapsed="false">
      <c r="A5" s="6" t="s">
        <v>51</v>
      </c>
      <c r="B5" s="6" t="s">
        <v>121</v>
      </c>
      <c r="C5" s="18" t="n">
        <v>27000000</v>
      </c>
      <c r="D5" s="12" t="n">
        <f aca="false">C5/$B$10</f>
        <v>1227272.72727273</v>
      </c>
    </row>
    <row r="6" customFormat="false" ht="15" hidden="false" customHeight="false" outlineLevel="0" collapsed="false">
      <c r="A6" s="6" t="s">
        <v>55</v>
      </c>
      <c r="B6" s="6" t="s">
        <v>122</v>
      </c>
      <c r="C6" s="18" t="n">
        <v>47000000</v>
      </c>
      <c r="D6" s="12" t="n">
        <f aca="false">C6/$B$10</f>
        <v>2136363.63636364</v>
      </c>
    </row>
    <row r="7" customFormat="false" ht="15" hidden="false" customHeight="false" outlineLevel="0" collapsed="false">
      <c r="A7" s="6" t="s">
        <v>64</v>
      </c>
      <c r="B7" s="6" t="s">
        <v>123</v>
      </c>
      <c r="C7" s="18" t="n">
        <v>24000000</v>
      </c>
      <c r="D7" s="12" t="n">
        <f aca="false">C7/$B$10</f>
        <v>1090909.09090909</v>
      </c>
    </row>
    <row r="9" customFormat="false" ht="15" hidden="false" customHeight="false" outlineLevel="0" collapsed="false">
      <c r="A9" s="13" t="s">
        <v>124</v>
      </c>
      <c r="B9" s="20" t="n">
        <v>1.235</v>
      </c>
    </row>
    <row r="10" customFormat="false" ht="15" hidden="false" customHeight="false" outlineLevel="0" collapsed="false">
      <c r="A10" s="13" t="s">
        <v>125</v>
      </c>
      <c r="B10" s="21" t="n">
        <v>22</v>
      </c>
    </row>
    <row r="11" customFormat="false" ht="15" hidden="false" customHeight="false" outlineLevel="0" collapsed="false">
      <c r="A11" s="13" t="s">
        <v>126</v>
      </c>
      <c r="B11" s="6" t="s">
        <v>127</v>
      </c>
      <c r="C11" s="5" t="s">
        <v>108</v>
      </c>
    </row>
    <row r="12" customFormat="false" ht="15" hidden="false" customHeight="false" outlineLevel="0" collapsed="false">
      <c r="A12" s="13" t="s">
        <v>128</v>
      </c>
      <c r="B12" s="18" t="n">
        <v>0</v>
      </c>
    </row>
    <row r="14" customFormat="false" ht="15" hidden="false" customHeight="false" outlineLevel="0" collapsed="false">
      <c r="A14" s="17" t="s">
        <v>129</v>
      </c>
    </row>
    <row r="15" customFormat="false" ht="15" hidden="false" customHeight="false" outlineLevel="0" collapsed="false">
      <c r="A15" s="17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</cols>
  <sheetData>
    <row r="1" customFormat="false" ht="15" hidden="false" customHeight="false" outlineLevel="0" collapsed="false">
      <c r="A1" s="4" t="s">
        <v>131</v>
      </c>
      <c r="B1" s="4" t="s">
        <v>132</v>
      </c>
      <c r="C1" s="4" t="s">
        <v>133</v>
      </c>
    </row>
    <row r="2" customFormat="false" ht="15" hidden="false" customHeight="false" outlineLevel="0" collapsed="false">
      <c r="A2" s="6" t="s">
        <v>134</v>
      </c>
      <c r="B2" s="22" t="n">
        <v>46464</v>
      </c>
      <c r="C2" s="22" t="n">
        <v>46477</v>
      </c>
    </row>
    <row r="3" customFormat="false" ht="15" hidden="false" customHeight="false" outlineLevel="0" collapsed="false">
      <c r="A3" s="6" t="s">
        <v>135</v>
      </c>
      <c r="B3" s="22" t="n">
        <v>46478</v>
      </c>
      <c r="C3" s="22" t="n">
        <v>46491</v>
      </c>
    </row>
    <row r="4" customFormat="false" ht="15" hidden="false" customHeight="false" outlineLevel="0" collapsed="false">
      <c r="A4" s="6" t="s">
        <v>136</v>
      </c>
      <c r="B4" s="22" t="n">
        <v>46492</v>
      </c>
      <c r="C4" s="22" t="n">
        <v>46513</v>
      </c>
    </row>
    <row r="5" customFormat="false" ht="15" hidden="false" customHeight="false" outlineLevel="0" collapsed="false">
      <c r="A5" s="6" t="s">
        <v>137</v>
      </c>
      <c r="B5" s="22" t="n">
        <v>46514</v>
      </c>
      <c r="C5" s="22" t="n">
        <v>46527</v>
      </c>
    </row>
    <row r="6" customFormat="false" ht="15" hidden="false" customHeight="false" outlineLevel="0" collapsed="false">
      <c r="A6" s="6" t="s">
        <v>138</v>
      </c>
      <c r="B6" s="22" t="n">
        <v>46528</v>
      </c>
      <c r="C6" s="22" t="n">
        <v>46541</v>
      </c>
    </row>
    <row r="7" customFormat="false" ht="15" hidden="false" customHeight="false" outlineLevel="0" collapsed="false">
      <c r="A7" s="6" t="s">
        <v>139</v>
      </c>
      <c r="B7" s="22" t="n">
        <v>46542</v>
      </c>
      <c r="C7" s="22" t="n">
        <v>46555</v>
      </c>
    </row>
    <row r="8" customFormat="false" ht="15" hidden="false" customHeight="false" outlineLevel="0" collapsed="false">
      <c r="A8" s="6" t="s">
        <v>140</v>
      </c>
      <c r="B8" s="22" t="n">
        <v>46556</v>
      </c>
      <c r="C8" s="22" t="n">
        <v>46569</v>
      </c>
    </row>
    <row r="9" customFormat="false" ht="15" hidden="false" customHeight="false" outlineLevel="0" collapsed="false">
      <c r="A9" s="6" t="s">
        <v>141</v>
      </c>
      <c r="B9" s="22" t="n">
        <v>46570</v>
      </c>
      <c r="C9" s="22" t="n">
        <v>46583</v>
      </c>
    </row>
    <row r="10" customFormat="false" ht="15" hidden="false" customHeight="false" outlineLevel="0" collapsed="false">
      <c r="A10" s="6" t="s">
        <v>142</v>
      </c>
      <c r="B10" s="22" t="n">
        <v>46584</v>
      </c>
      <c r="C10" s="22" t="n">
        <v>46597</v>
      </c>
    </row>
    <row r="11" customFormat="false" ht="15" hidden="false" customHeight="false" outlineLevel="0" collapsed="false">
      <c r="A11" s="6" t="s">
        <v>143</v>
      </c>
      <c r="B11" s="22" t="n">
        <v>46598</v>
      </c>
      <c r="C11" s="22" t="n">
        <v>46611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4" t="s">
        <v>144</v>
      </c>
      <c r="B1" s="4" t="s">
        <v>131</v>
      </c>
      <c r="C1" s="4" t="s">
        <v>19</v>
      </c>
      <c r="D1" s="4" t="s">
        <v>145</v>
      </c>
      <c r="E1" s="4" t="s">
        <v>146</v>
      </c>
      <c r="F1" s="4" t="s">
        <v>95</v>
      </c>
    </row>
    <row r="2" customFormat="false" ht="15" hidden="false" customHeight="false" outlineLevel="0" collapsed="false">
      <c r="A2" s="22" t="n">
        <v>46464</v>
      </c>
      <c r="B2" s="23" t="str">
        <f aca="false">IFERROR(INDEX(Sprint!$A$2:$A$11,MATCH(A2,Sprint!$B$2:$B$11,1)),"")</f>
        <v>S1</v>
      </c>
      <c r="C2" s="6" t="s">
        <v>56</v>
      </c>
      <c r="D2" s="6" t="s">
        <v>147</v>
      </c>
      <c r="E2" s="7" t="n">
        <v>1</v>
      </c>
      <c r="F2" s="6"/>
    </row>
    <row r="3" customFormat="false" ht="15" hidden="false" customHeight="false" outlineLevel="0" collapsed="false">
      <c r="A3" s="22" t="n">
        <v>46464</v>
      </c>
      <c r="B3" s="23" t="str">
        <f aca="false">IFERROR(INDEX(Sprint!$A$2:$A$11,MATCH(A3,Sprint!$B$2:$B$11,1)),"")</f>
        <v>S1</v>
      </c>
      <c r="C3" s="6" t="s">
        <v>52</v>
      </c>
      <c r="D3" s="6" t="s">
        <v>148</v>
      </c>
      <c r="E3" s="7" t="n">
        <v>1</v>
      </c>
      <c r="F3" s="6"/>
    </row>
    <row r="4" customFormat="false" ht="15" hidden="false" customHeight="false" outlineLevel="0" collapsed="false">
      <c r="A4" s="22" t="n">
        <v>46464</v>
      </c>
      <c r="B4" s="23" t="str">
        <f aca="false">IFERROR(INDEX(Sprint!$A$2:$A$11,MATCH(A4,Sprint!$B$2:$B$11,1)),"")</f>
        <v>S1</v>
      </c>
      <c r="C4" s="6" t="s">
        <v>37</v>
      </c>
      <c r="D4" s="6" t="s">
        <v>149</v>
      </c>
      <c r="E4" s="7" t="n">
        <v>0.5</v>
      </c>
      <c r="F4" s="6"/>
    </row>
    <row r="5" customFormat="false" ht="15" hidden="false" customHeight="false" outlineLevel="0" collapsed="false">
      <c r="A5" s="22" t="n">
        <v>46464</v>
      </c>
      <c r="B5" s="23" t="str">
        <f aca="false">IFERROR(INDEX(Sprint!$A$2:$A$11,MATCH(A5,Sprint!$B$2:$B$11,1)),"")</f>
        <v>S1</v>
      </c>
      <c r="C5" s="6" t="s">
        <v>37</v>
      </c>
      <c r="D5" s="6" t="s">
        <v>150</v>
      </c>
      <c r="E5" s="7" t="n">
        <v>0.25</v>
      </c>
      <c r="F5" s="6"/>
    </row>
    <row r="6" customFormat="false" ht="15" hidden="false" customHeight="false" outlineLevel="0" collapsed="false">
      <c r="A6" s="22" t="n">
        <v>46464</v>
      </c>
      <c r="B6" s="23" t="str">
        <f aca="false">IFERROR(INDEX(Sprint!$A$2:$A$11,MATCH(A6,Sprint!$B$2:$B$11,1)),"")</f>
        <v>S1</v>
      </c>
      <c r="C6" s="6" t="s">
        <v>37</v>
      </c>
      <c r="D6" s="6" t="s">
        <v>151</v>
      </c>
      <c r="E6" s="7" t="n">
        <v>0.25</v>
      </c>
      <c r="F6" s="6"/>
    </row>
    <row r="7" customFormat="false" ht="15" hidden="false" customHeight="false" outlineLevel="0" collapsed="false">
      <c r="A7" s="22" t="n">
        <v>46464</v>
      </c>
      <c r="B7" s="23" t="str">
        <f aca="false">IFERROR(INDEX(Sprint!$A$2:$A$11,MATCH(A7,Sprint!$B$2:$B$11,1)),"")</f>
        <v>S1</v>
      </c>
      <c r="C7" s="6" t="s">
        <v>49</v>
      </c>
      <c r="D7" s="6" t="s">
        <v>152</v>
      </c>
      <c r="E7" s="7" t="n">
        <v>1</v>
      </c>
      <c r="F7" s="6"/>
    </row>
    <row r="8" customFormat="false" ht="15" hidden="false" customHeight="false" outlineLevel="0" collapsed="false">
      <c r="A8" s="22" t="n">
        <v>46464</v>
      </c>
      <c r="B8" s="23" t="str">
        <f aca="false">IFERROR(INDEX(Sprint!$A$2:$A$11,MATCH(A8,Sprint!$B$2:$B$11,1)),"")</f>
        <v>S1</v>
      </c>
      <c r="C8" s="6" t="s">
        <v>44</v>
      </c>
      <c r="D8" s="6" t="s">
        <v>153</v>
      </c>
      <c r="E8" s="7" t="n">
        <v>1</v>
      </c>
      <c r="F8" s="6"/>
    </row>
    <row r="9" customFormat="false" ht="15" hidden="false" customHeight="false" outlineLevel="0" collapsed="false">
      <c r="A9" s="22" t="n">
        <v>46464</v>
      </c>
      <c r="B9" s="23" t="str">
        <f aca="false">IFERROR(INDEX(Sprint!$A$2:$A$11,MATCH(A9,Sprint!$B$2:$B$11,1)),"")</f>
        <v>S1</v>
      </c>
      <c r="C9" s="6" t="s">
        <v>41</v>
      </c>
      <c r="D9" s="6" t="s">
        <v>147</v>
      </c>
      <c r="E9" s="7" t="n">
        <v>1</v>
      </c>
      <c r="F9" s="6"/>
    </row>
    <row r="10" customFormat="false" ht="15" hidden="false" customHeight="false" outlineLevel="0" collapsed="false">
      <c r="A10" s="22" t="n">
        <v>46465</v>
      </c>
      <c r="B10" s="23" t="str">
        <f aca="false">IFERROR(INDEX(Sprint!$A$2:$A$11,MATCH(A10,Sprint!$B$2:$B$11,1)),"")</f>
        <v>S1</v>
      </c>
      <c r="C10" s="6" t="s">
        <v>56</v>
      </c>
      <c r="D10" s="6" t="s">
        <v>147</v>
      </c>
      <c r="E10" s="7" t="n">
        <v>1</v>
      </c>
      <c r="F10" s="6"/>
    </row>
    <row r="11" customFormat="false" ht="15" hidden="false" customHeight="false" outlineLevel="0" collapsed="false">
      <c r="A11" s="22" t="n">
        <v>46465</v>
      </c>
      <c r="B11" s="23" t="str">
        <f aca="false">IFERROR(INDEX(Sprint!$A$2:$A$11,MATCH(A11,Sprint!$B$2:$B$11,1)),"")</f>
        <v>S1</v>
      </c>
      <c r="C11" s="6" t="s">
        <v>52</v>
      </c>
      <c r="D11" s="6" t="s">
        <v>148</v>
      </c>
      <c r="E11" s="7" t="n">
        <v>1</v>
      </c>
      <c r="F11" s="6"/>
    </row>
    <row r="12" customFormat="false" ht="15" hidden="false" customHeight="false" outlineLevel="0" collapsed="false">
      <c r="A12" s="22" t="n">
        <v>46465</v>
      </c>
      <c r="B12" s="23" t="str">
        <f aca="false">IFERROR(INDEX(Sprint!$A$2:$A$11,MATCH(A12,Sprint!$B$2:$B$11,1)),"")</f>
        <v>S1</v>
      </c>
      <c r="C12" s="6" t="s">
        <v>37</v>
      </c>
      <c r="D12" s="6" t="s">
        <v>149</v>
      </c>
      <c r="E12" s="7" t="n">
        <v>0.5</v>
      </c>
      <c r="F12" s="6"/>
    </row>
    <row r="13" customFormat="false" ht="15" hidden="false" customHeight="false" outlineLevel="0" collapsed="false">
      <c r="A13" s="22" t="n">
        <v>46465</v>
      </c>
      <c r="B13" s="23" t="str">
        <f aca="false">IFERROR(INDEX(Sprint!$A$2:$A$11,MATCH(A13,Sprint!$B$2:$B$11,1)),"")</f>
        <v>S1</v>
      </c>
      <c r="C13" s="6" t="s">
        <v>37</v>
      </c>
      <c r="D13" s="6" t="s">
        <v>154</v>
      </c>
      <c r="E13" s="7" t="n">
        <v>0.25</v>
      </c>
      <c r="F13" s="6"/>
    </row>
    <row r="14" customFormat="false" ht="15" hidden="false" customHeight="false" outlineLevel="0" collapsed="false">
      <c r="A14" s="22" t="n">
        <v>46465</v>
      </c>
      <c r="B14" s="23" t="str">
        <f aca="false">IFERROR(INDEX(Sprint!$A$2:$A$11,MATCH(A14,Sprint!$B$2:$B$11,1)),"")</f>
        <v>S1</v>
      </c>
      <c r="C14" s="6" t="s">
        <v>37</v>
      </c>
      <c r="D14" s="6" t="s">
        <v>155</v>
      </c>
      <c r="E14" s="7" t="n">
        <v>0.25</v>
      </c>
      <c r="F14" s="6"/>
    </row>
    <row r="15" customFormat="false" ht="15" hidden="false" customHeight="false" outlineLevel="0" collapsed="false">
      <c r="A15" s="22" t="n">
        <v>46465</v>
      </c>
      <c r="B15" s="23" t="str">
        <f aca="false">IFERROR(INDEX(Sprint!$A$2:$A$11,MATCH(A15,Sprint!$B$2:$B$11,1)),"")</f>
        <v>S1</v>
      </c>
      <c r="C15" s="6" t="s">
        <v>49</v>
      </c>
      <c r="D15" s="6" t="s">
        <v>152</v>
      </c>
      <c r="E15" s="7" t="n">
        <v>1</v>
      </c>
      <c r="F15" s="6"/>
    </row>
    <row r="16" customFormat="false" ht="15" hidden="false" customHeight="false" outlineLevel="0" collapsed="false">
      <c r="A16" s="22" t="n">
        <v>46465</v>
      </c>
      <c r="B16" s="23" t="str">
        <f aca="false">IFERROR(INDEX(Sprint!$A$2:$A$11,MATCH(A16,Sprint!$B$2:$B$11,1)),"")</f>
        <v>S1</v>
      </c>
      <c r="C16" s="6" t="s">
        <v>44</v>
      </c>
      <c r="D16" s="6" t="s">
        <v>153</v>
      </c>
      <c r="E16" s="7" t="n">
        <v>1</v>
      </c>
      <c r="F16" s="6"/>
    </row>
    <row r="17" customFormat="false" ht="15" hidden="false" customHeight="false" outlineLevel="0" collapsed="false">
      <c r="A17" s="22" t="n">
        <v>46465</v>
      </c>
      <c r="B17" s="23" t="str">
        <f aca="false">IFERROR(INDEX(Sprint!$A$2:$A$11,MATCH(A17,Sprint!$B$2:$B$11,1)),"")</f>
        <v>S1</v>
      </c>
      <c r="C17" s="6" t="s">
        <v>41</v>
      </c>
      <c r="D17" s="6" t="s">
        <v>147</v>
      </c>
      <c r="E17" s="7" t="n">
        <v>1</v>
      </c>
      <c r="F17" s="6"/>
    </row>
    <row r="18" customFormat="false" ht="15" hidden="false" customHeight="false" outlineLevel="0" collapsed="false">
      <c r="A18" s="22" t="n">
        <v>46468</v>
      </c>
      <c r="B18" s="23" t="str">
        <f aca="false">IFERROR(INDEX(Sprint!$A$2:$A$11,MATCH(A18,Sprint!$B$2:$B$11,1)),"")</f>
        <v>S1</v>
      </c>
      <c r="C18" s="6" t="s">
        <v>56</v>
      </c>
      <c r="D18" s="6" t="s">
        <v>147</v>
      </c>
      <c r="E18" s="7" t="n">
        <v>1</v>
      </c>
      <c r="F18" s="6"/>
    </row>
    <row r="19" customFormat="false" ht="15" hidden="false" customHeight="false" outlineLevel="0" collapsed="false">
      <c r="A19" s="22" t="n">
        <v>46468</v>
      </c>
      <c r="B19" s="23" t="str">
        <f aca="false">IFERROR(INDEX(Sprint!$A$2:$A$11,MATCH(A19,Sprint!$B$2:$B$11,1)),"")</f>
        <v>S1</v>
      </c>
      <c r="C19" s="6" t="s">
        <v>52</v>
      </c>
      <c r="D19" s="6" t="s">
        <v>148</v>
      </c>
      <c r="E19" s="7" t="n">
        <v>1</v>
      </c>
      <c r="F19" s="6"/>
    </row>
    <row r="20" customFormat="false" ht="15" hidden="false" customHeight="false" outlineLevel="0" collapsed="false">
      <c r="A20" s="22" t="n">
        <v>46468</v>
      </c>
      <c r="B20" s="23" t="str">
        <f aca="false">IFERROR(INDEX(Sprint!$A$2:$A$11,MATCH(A20,Sprint!$B$2:$B$11,1)),"")</f>
        <v>S1</v>
      </c>
      <c r="C20" s="6" t="s">
        <v>37</v>
      </c>
      <c r="D20" s="6" t="s">
        <v>149</v>
      </c>
      <c r="E20" s="7" t="n">
        <v>0.5</v>
      </c>
      <c r="F20" s="6"/>
    </row>
    <row r="21" customFormat="false" ht="15" hidden="false" customHeight="false" outlineLevel="0" collapsed="false">
      <c r="A21" s="22" t="n">
        <v>46468</v>
      </c>
      <c r="B21" s="23" t="str">
        <f aca="false">IFERROR(INDEX(Sprint!$A$2:$A$11,MATCH(A21,Sprint!$B$2:$B$11,1)),"")</f>
        <v>S1</v>
      </c>
      <c r="C21" s="6" t="s">
        <v>37</v>
      </c>
      <c r="D21" s="6" t="s">
        <v>156</v>
      </c>
      <c r="E21" s="7" t="n">
        <v>0.25</v>
      </c>
      <c r="F21" s="6"/>
    </row>
    <row r="22" customFormat="false" ht="15" hidden="false" customHeight="false" outlineLevel="0" collapsed="false">
      <c r="A22" s="22" t="n">
        <v>46468</v>
      </c>
      <c r="B22" s="23" t="str">
        <f aca="false">IFERROR(INDEX(Sprint!$A$2:$A$11,MATCH(A22,Sprint!$B$2:$B$11,1)),"")</f>
        <v>S1</v>
      </c>
      <c r="C22" s="6" t="s">
        <v>37</v>
      </c>
      <c r="D22" s="6" t="s">
        <v>157</v>
      </c>
      <c r="E22" s="7" t="n">
        <v>0.25</v>
      </c>
      <c r="F22" s="6"/>
    </row>
    <row r="23" customFormat="false" ht="15" hidden="false" customHeight="false" outlineLevel="0" collapsed="false">
      <c r="A23" s="22" t="n">
        <v>46468</v>
      </c>
      <c r="B23" s="23" t="str">
        <f aca="false">IFERROR(INDEX(Sprint!$A$2:$A$11,MATCH(A23,Sprint!$B$2:$B$11,1)),"")</f>
        <v>S1</v>
      </c>
      <c r="C23" s="6" t="s">
        <v>49</v>
      </c>
      <c r="D23" s="6" t="s">
        <v>152</v>
      </c>
      <c r="E23" s="7" t="n">
        <v>1</v>
      </c>
      <c r="F23" s="6"/>
    </row>
    <row r="24" customFormat="false" ht="15" hidden="false" customHeight="false" outlineLevel="0" collapsed="false">
      <c r="A24" s="22" t="n">
        <v>46468</v>
      </c>
      <c r="B24" s="23" t="str">
        <f aca="false">IFERROR(INDEX(Sprint!$A$2:$A$11,MATCH(A24,Sprint!$B$2:$B$11,1)),"")</f>
        <v>S1</v>
      </c>
      <c r="C24" s="6" t="s">
        <v>44</v>
      </c>
      <c r="D24" s="6" t="s">
        <v>153</v>
      </c>
      <c r="E24" s="7" t="n">
        <v>1</v>
      </c>
      <c r="F24" s="6"/>
    </row>
    <row r="25" customFormat="false" ht="15" hidden="false" customHeight="false" outlineLevel="0" collapsed="false">
      <c r="A25" s="22" t="n">
        <v>46468</v>
      </c>
      <c r="B25" s="23" t="str">
        <f aca="false">IFERROR(INDEX(Sprint!$A$2:$A$11,MATCH(A25,Sprint!$B$2:$B$11,1)),"")</f>
        <v>S1</v>
      </c>
      <c r="C25" s="6" t="s">
        <v>41</v>
      </c>
      <c r="D25" s="6" t="s">
        <v>147</v>
      </c>
      <c r="E25" s="7" t="n">
        <v>1</v>
      </c>
      <c r="F25" s="6"/>
    </row>
    <row r="26" customFormat="false" ht="15" hidden="false" customHeight="false" outlineLevel="0" collapsed="false">
      <c r="A26" s="22" t="n">
        <v>46469</v>
      </c>
      <c r="B26" s="23" t="str">
        <f aca="false">IFERROR(INDEX(Sprint!$A$2:$A$11,MATCH(A26,Sprint!$B$2:$B$11,1)),"")</f>
        <v>S1</v>
      </c>
      <c r="C26" s="6" t="s">
        <v>56</v>
      </c>
      <c r="D26" s="6" t="s">
        <v>147</v>
      </c>
      <c r="E26" s="7" t="n">
        <v>1</v>
      </c>
      <c r="F26" s="6"/>
    </row>
    <row r="27" customFormat="false" ht="15" hidden="false" customHeight="false" outlineLevel="0" collapsed="false">
      <c r="A27" s="22" t="n">
        <v>46469</v>
      </c>
      <c r="B27" s="23" t="str">
        <f aca="false">IFERROR(INDEX(Sprint!$A$2:$A$11,MATCH(A27,Sprint!$B$2:$B$11,1)),"")</f>
        <v>S1</v>
      </c>
      <c r="C27" s="6" t="s">
        <v>52</v>
      </c>
      <c r="D27" s="6" t="s">
        <v>148</v>
      </c>
      <c r="E27" s="7" t="n">
        <v>1</v>
      </c>
      <c r="F27" s="6"/>
    </row>
    <row r="28" customFormat="false" ht="15" hidden="false" customHeight="false" outlineLevel="0" collapsed="false">
      <c r="A28" s="22" t="n">
        <v>46469</v>
      </c>
      <c r="B28" s="23" t="str">
        <f aca="false">IFERROR(INDEX(Sprint!$A$2:$A$11,MATCH(A28,Sprint!$B$2:$B$11,1)),"")</f>
        <v>S1</v>
      </c>
      <c r="C28" s="6" t="s">
        <v>37</v>
      </c>
      <c r="D28" s="6" t="s">
        <v>149</v>
      </c>
      <c r="E28" s="7" t="n">
        <v>0.5</v>
      </c>
      <c r="F28" s="6"/>
    </row>
    <row r="29" customFormat="false" ht="15" hidden="false" customHeight="false" outlineLevel="0" collapsed="false">
      <c r="A29" s="22" t="n">
        <v>46469</v>
      </c>
      <c r="B29" s="23" t="str">
        <f aca="false">IFERROR(INDEX(Sprint!$A$2:$A$11,MATCH(A29,Sprint!$B$2:$B$11,1)),"")</f>
        <v>S1</v>
      </c>
      <c r="C29" s="6" t="s">
        <v>37</v>
      </c>
      <c r="D29" s="6" t="s">
        <v>158</v>
      </c>
      <c r="E29" s="7" t="n">
        <v>0.25</v>
      </c>
      <c r="F29" s="6"/>
    </row>
    <row r="30" customFormat="false" ht="15" hidden="false" customHeight="false" outlineLevel="0" collapsed="false">
      <c r="A30" s="22" t="n">
        <v>46469</v>
      </c>
      <c r="B30" s="23" t="str">
        <f aca="false">IFERROR(INDEX(Sprint!$A$2:$A$11,MATCH(A30,Sprint!$B$2:$B$11,1)),"")</f>
        <v>S1</v>
      </c>
      <c r="C30" s="6" t="s">
        <v>37</v>
      </c>
      <c r="D30" s="6" t="s">
        <v>159</v>
      </c>
      <c r="E30" s="7" t="n">
        <v>0.25</v>
      </c>
      <c r="F30" s="6"/>
    </row>
    <row r="31" customFormat="false" ht="15" hidden="false" customHeight="false" outlineLevel="0" collapsed="false">
      <c r="A31" s="22" t="n">
        <v>46469</v>
      </c>
      <c r="B31" s="23" t="str">
        <f aca="false">IFERROR(INDEX(Sprint!$A$2:$A$11,MATCH(A31,Sprint!$B$2:$B$11,1)),"")</f>
        <v>S1</v>
      </c>
      <c r="C31" s="6" t="s">
        <v>49</v>
      </c>
      <c r="D31" s="6" t="s">
        <v>152</v>
      </c>
      <c r="E31" s="7" t="n">
        <v>1</v>
      </c>
      <c r="F31" s="6"/>
    </row>
    <row r="32" customFormat="false" ht="15" hidden="false" customHeight="false" outlineLevel="0" collapsed="false">
      <c r="A32" s="22" t="n">
        <v>46469</v>
      </c>
      <c r="B32" s="23" t="str">
        <f aca="false">IFERROR(INDEX(Sprint!$A$2:$A$11,MATCH(A32,Sprint!$B$2:$B$11,1)),"")</f>
        <v>S1</v>
      </c>
      <c r="C32" s="6" t="s">
        <v>44</v>
      </c>
      <c r="D32" s="6" t="s">
        <v>153</v>
      </c>
      <c r="E32" s="7" t="n">
        <v>0.5</v>
      </c>
      <c r="F32" s="6"/>
    </row>
    <row r="33" customFormat="false" ht="15" hidden="false" customHeight="false" outlineLevel="0" collapsed="false">
      <c r="A33" s="22" t="n">
        <v>46469</v>
      </c>
      <c r="B33" s="23" t="str">
        <f aca="false">IFERROR(INDEX(Sprint!$A$2:$A$11,MATCH(A33,Sprint!$B$2:$B$11,1)),"")</f>
        <v>S1</v>
      </c>
      <c r="C33" s="6" t="s">
        <v>44</v>
      </c>
      <c r="D33" s="6" t="s">
        <v>160</v>
      </c>
      <c r="E33" s="7" t="n">
        <v>0.5</v>
      </c>
      <c r="F33" s="6"/>
    </row>
    <row r="34" customFormat="false" ht="15" hidden="false" customHeight="false" outlineLevel="0" collapsed="false">
      <c r="A34" s="22" t="n">
        <v>46469</v>
      </c>
      <c r="B34" s="23" t="str">
        <f aca="false">IFERROR(INDEX(Sprint!$A$2:$A$11,MATCH(A34,Sprint!$B$2:$B$11,1)),"")</f>
        <v>S1</v>
      </c>
      <c r="C34" s="6" t="s">
        <v>41</v>
      </c>
      <c r="D34" s="6" t="s">
        <v>147</v>
      </c>
      <c r="E34" s="7" t="n">
        <v>1</v>
      </c>
      <c r="F34" s="6"/>
    </row>
    <row r="35" customFormat="false" ht="15" hidden="false" customHeight="false" outlineLevel="0" collapsed="false">
      <c r="A35" s="22" t="n">
        <v>46470</v>
      </c>
      <c r="B35" s="23" t="str">
        <f aca="false">IFERROR(INDEX(Sprint!$A$2:$A$11,MATCH(A35,Sprint!$B$2:$B$11,1)),"")</f>
        <v>S1</v>
      </c>
      <c r="C35" s="6" t="s">
        <v>60</v>
      </c>
      <c r="D35" s="6" t="s">
        <v>161</v>
      </c>
      <c r="E35" s="7" t="n">
        <v>1</v>
      </c>
      <c r="F35" s="6"/>
    </row>
    <row r="36" customFormat="false" ht="15" hidden="false" customHeight="false" outlineLevel="0" collapsed="false">
      <c r="A36" s="22" t="n">
        <v>46470</v>
      </c>
      <c r="B36" s="23" t="str">
        <f aca="false">IFERROR(INDEX(Sprint!$A$2:$A$11,MATCH(A36,Sprint!$B$2:$B$11,1)),"")</f>
        <v>S1</v>
      </c>
      <c r="C36" s="6" t="s">
        <v>52</v>
      </c>
      <c r="D36" s="6" t="s">
        <v>162</v>
      </c>
      <c r="E36" s="7" t="n">
        <v>1</v>
      </c>
      <c r="F36" s="6"/>
    </row>
    <row r="37" customFormat="false" ht="15" hidden="false" customHeight="false" outlineLevel="0" collapsed="false">
      <c r="A37" s="22" t="n">
        <v>46470</v>
      </c>
      <c r="B37" s="23" t="str">
        <f aca="false">IFERROR(INDEX(Sprint!$A$2:$A$11,MATCH(A37,Sprint!$B$2:$B$11,1)),"")</f>
        <v>S1</v>
      </c>
      <c r="C37" s="6" t="s">
        <v>37</v>
      </c>
      <c r="D37" s="6" t="s">
        <v>150</v>
      </c>
      <c r="E37" s="7" t="n">
        <v>0.25</v>
      </c>
      <c r="F37" s="6"/>
    </row>
    <row r="38" customFormat="false" ht="15" hidden="false" customHeight="false" outlineLevel="0" collapsed="false">
      <c r="A38" s="22" t="n">
        <v>46470</v>
      </c>
      <c r="B38" s="23" t="str">
        <f aca="false">IFERROR(INDEX(Sprint!$A$2:$A$11,MATCH(A38,Sprint!$B$2:$B$11,1)),"")</f>
        <v>S1</v>
      </c>
      <c r="C38" s="6" t="s">
        <v>37</v>
      </c>
      <c r="D38" s="6" t="s">
        <v>162</v>
      </c>
      <c r="E38" s="7" t="n">
        <v>0.5</v>
      </c>
      <c r="F38" s="6"/>
    </row>
    <row r="39" customFormat="false" ht="15" hidden="false" customHeight="false" outlineLevel="0" collapsed="false">
      <c r="A39" s="22" t="n">
        <v>46470</v>
      </c>
      <c r="B39" s="23" t="str">
        <f aca="false">IFERROR(INDEX(Sprint!$A$2:$A$11,MATCH(A39,Sprint!$B$2:$B$11,1)),"")</f>
        <v>S1</v>
      </c>
      <c r="C39" s="6" t="s">
        <v>37</v>
      </c>
      <c r="D39" s="6" t="s">
        <v>155</v>
      </c>
      <c r="E39" s="7" t="n">
        <v>0.25</v>
      </c>
      <c r="F39" s="6"/>
    </row>
    <row r="40" customFormat="false" ht="15" hidden="false" customHeight="false" outlineLevel="0" collapsed="false">
      <c r="A40" s="22" t="n">
        <v>46470</v>
      </c>
      <c r="B40" s="23" t="str">
        <f aca="false">IFERROR(INDEX(Sprint!$A$2:$A$11,MATCH(A40,Sprint!$B$2:$B$11,1)),"")</f>
        <v>S1</v>
      </c>
      <c r="C40" s="6" t="s">
        <v>49</v>
      </c>
      <c r="D40" s="6" t="s">
        <v>163</v>
      </c>
      <c r="E40" s="7" t="n">
        <v>1</v>
      </c>
      <c r="F40" s="6"/>
    </row>
    <row r="41" customFormat="false" ht="15" hidden="false" customHeight="false" outlineLevel="0" collapsed="false">
      <c r="A41" s="22" t="n">
        <v>46470</v>
      </c>
      <c r="B41" s="23" t="str">
        <f aca="false">IFERROR(INDEX(Sprint!$A$2:$A$11,MATCH(A41,Sprint!$B$2:$B$11,1)),"")</f>
        <v>S1</v>
      </c>
      <c r="C41" s="6" t="s">
        <v>44</v>
      </c>
      <c r="D41" s="6" t="s">
        <v>160</v>
      </c>
      <c r="E41" s="7" t="n">
        <v>1</v>
      </c>
      <c r="F41" s="6"/>
    </row>
    <row r="42" customFormat="false" ht="15" hidden="false" customHeight="false" outlineLevel="0" collapsed="false">
      <c r="A42" s="22" t="n">
        <v>46470</v>
      </c>
      <c r="B42" s="23" t="str">
        <f aca="false">IFERROR(INDEX(Sprint!$A$2:$A$11,MATCH(A42,Sprint!$B$2:$B$11,1)),"")</f>
        <v>S1</v>
      </c>
      <c r="C42" s="6" t="s">
        <v>47</v>
      </c>
      <c r="D42" s="6" t="s">
        <v>164</v>
      </c>
      <c r="E42" s="7" t="n">
        <v>1</v>
      </c>
      <c r="F42" s="6"/>
    </row>
    <row r="43" customFormat="false" ht="15" hidden="false" customHeight="false" outlineLevel="0" collapsed="false">
      <c r="A43" s="22" t="n">
        <v>46471</v>
      </c>
      <c r="B43" s="23" t="str">
        <f aca="false">IFERROR(INDEX(Sprint!$A$2:$A$11,MATCH(A43,Sprint!$B$2:$B$11,1)),"")</f>
        <v>S1</v>
      </c>
      <c r="C43" s="6" t="s">
        <v>60</v>
      </c>
      <c r="D43" s="6" t="s">
        <v>161</v>
      </c>
      <c r="E43" s="7" t="n">
        <v>1</v>
      </c>
      <c r="F43" s="6"/>
    </row>
    <row r="44" customFormat="false" ht="15" hidden="false" customHeight="false" outlineLevel="0" collapsed="false">
      <c r="A44" s="22" t="n">
        <v>46471</v>
      </c>
      <c r="B44" s="23" t="str">
        <f aca="false">IFERROR(INDEX(Sprint!$A$2:$A$11,MATCH(A44,Sprint!$B$2:$B$11,1)),"")</f>
        <v>S1</v>
      </c>
      <c r="C44" s="6" t="s">
        <v>52</v>
      </c>
      <c r="D44" s="6" t="s">
        <v>162</v>
      </c>
      <c r="E44" s="7" t="n">
        <v>1</v>
      </c>
      <c r="F44" s="6"/>
    </row>
    <row r="45" customFormat="false" ht="15" hidden="false" customHeight="false" outlineLevel="0" collapsed="false">
      <c r="A45" s="22" t="n">
        <v>46471</v>
      </c>
      <c r="B45" s="23" t="str">
        <f aca="false">IFERROR(INDEX(Sprint!$A$2:$A$11,MATCH(A45,Sprint!$B$2:$B$11,1)),"")</f>
        <v>S1</v>
      </c>
      <c r="C45" s="6" t="s">
        <v>37</v>
      </c>
      <c r="D45" s="6" t="s">
        <v>162</v>
      </c>
      <c r="E45" s="7" t="n">
        <v>0.5</v>
      </c>
      <c r="F45" s="6"/>
    </row>
    <row r="46" customFormat="false" ht="15" hidden="false" customHeight="false" outlineLevel="0" collapsed="false">
      <c r="A46" s="22" t="n">
        <v>46471</v>
      </c>
      <c r="B46" s="23" t="str">
        <f aca="false">IFERROR(INDEX(Sprint!$A$2:$A$11,MATCH(A46,Sprint!$B$2:$B$11,1)),"")</f>
        <v>S1</v>
      </c>
      <c r="C46" s="6" t="s">
        <v>37</v>
      </c>
      <c r="D46" s="6" t="s">
        <v>157</v>
      </c>
      <c r="E46" s="7" t="n">
        <v>0.25</v>
      </c>
      <c r="F46" s="6"/>
    </row>
    <row r="47" customFormat="false" ht="15" hidden="false" customHeight="false" outlineLevel="0" collapsed="false">
      <c r="A47" s="22" t="n">
        <v>46471</v>
      </c>
      <c r="B47" s="23" t="str">
        <f aca="false">IFERROR(INDEX(Sprint!$A$2:$A$11,MATCH(A47,Sprint!$B$2:$B$11,1)),"")</f>
        <v>S1</v>
      </c>
      <c r="C47" s="6" t="s">
        <v>37</v>
      </c>
      <c r="D47" s="6" t="s">
        <v>165</v>
      </c>
      <c r="E47" s="7" t="n">
        <v>0.25</v>
      </c>
      <c r="F47" s="6"/>
    </row>
    <row r="48" customFormat="false" ht="15" hidden="false" customHeight="false" outlineLevel="0" collapsed="false">
      <c r="A48" s="22" t="n">
        <v>46471</v>
      </c>
      <c r="B48" s="23" t="str">
        <f aca="false">IFERROR(INDEX(Sprint!$A$2:$A$11,MATCH(A48,Sprint!$B$2:$B$11,1)),"")</f>
        <v>S1</v>
      </c>
      <c r="C48" s="6" t="s">
        <v>49</v>
      </c>
      <c r="D48" s="6" t="s">
        <v>163</v>
      </c>
      <c r="E48" s="7" t="n">
        <v>1</v>
      </c>
      <c r="F48" s="6"/>
    </row>
    <row r="49" customFormat="false" ht="15" hidden="false" customHeight="false" outlineLevel="0" collapsed="false">
      <c r="A49" s="22" t="n">
        <v>46471</v>
      </c>
      <c r="B49" s="23" t="str">
        <f aca="false">IFERROR(INDEX(Sprint!$A$2:$A$11,MATCH(A49,Sprint!$B$2:$B$11,1)),"")</f>
        <v>S1</v>
      </c>
      <c r="C49" s="6" t="s">
        <v>44</v>
      </c>
      <c r="D49" s="6" t="s">
        <v>160</v>
      </c>
      <c r="E49" s="7" t="n">
        <v>1</v>
      </c>
      <c r="F49" s="6"/>
    </row>
    <row r="50" customFormat="false" ht="15" hidden="false" customHeight="false" outlineLevel="0" collapsed="false">
      <c r="A50" s="22" t="n">
        <v>46471</v>
      </c>
      <c r="B50" s="23" t="str">
        <f aca="false">IFERROR(INDEX(Sprint!$A$2:$A$11,MATCH(A50,Sprint!$B$2:$B$11,1)),"")</f>
        <v>S1</v>
      </c>
      <c r="C50" s="6" t="s">
        <v>47</v>
      </c>
      <c r="D50" s="6" t="s">
        <v>164</v>
      </c>
      <c r="E50" s="7" t="n">
        <v>1</v>
      </c>
      <c r="F50" s="6"/>
    </row>
    <row r="51" customFormat="false" ht="15" hidden="false" customHeight="false" outlineLevel="0" collapsed="false">
      <c r="A51" s="22" t="n">
        <v>46472</v>
      </c>
      <c r="B51" s="23" t="str">
        <f aca="false">IFERROR(INDEX(Sprint!$A$2:$A$11,MATCH(A51,Sprint!$B$2:$B$11,1)),"")</f>
        <v>S1</v>
      </c>
      <c r="C51" s="6" t="s">
        <v>60</v>
      </c>
      <c r="D51" s="6" t="s">
        <v>161</v>
      </c>
      <c r="E51" s="7" t="n">
        <v>1</v>
      </c>
      <c r="F51" s="6"/>
    </row>
    <row r="52" customFormat="false" ht="15" hidden="false" customHeight="false" outlineLevel="0" collapsed="false">
      <c r="A52" s="22" t="n">
        <v>46472</v>
      </c>
      <c r="B52" s="23" t="str">
        <f aca="false">IFERROR(INDEX(Sprint!$A$2:$A$11,MATCH(A52,Sprint!$B$2:$B$11,1)),"")</f>
        <v>S1</v>
      </c>
      <c r="C52" s="6" t="s">
        <v>52</v>
      </c>
      <c r="D52" s="6" t="s">
        <v>162</v>
      </c>
      <c r="E52" s="7" t="n">
        <v>0.75</v>
      </c>
      <c r="F52" s="6"/>
    </row>
    <row r="53" customFormat="false" ht="15" hidden="false" customHeight="false" outlineLevel="0" collapsed="false">
      <c r="A53" s="22" t="n">
        <v>46472</v>
      </c>
      <c r="B53" s="23" t="str">
        <f aca="false">IFERROR(INDEX(Sprint!$A$2:$A$11,MATCH(A53,Sprint!$B$2:$B$11,1)),"")</f>
        <v>S1</v>
      </c>
      <c r="C53" s="6" t="s">
        <v>37</v>
      </c>
      <c r="D53" s="6" t="s">
        <v>151</v>
      </c>
      <c r="E53" s="7" t="n">
        <v>0.25</v>
      </c>
      <c r="F53" s="6"/>
    </row>
    <row r="54" customFormat="false" ht="15" hidden="false" customHeight="false" outlineLevel="0" collapsed="false">
      <c r="A54" s="22" t="n">
        <v>46472</v>
      </c>
      <c r="B54" s="23" t="str">
        <f aca="false">IFERROR(INDEX(Sprint!$A$2:$A$11,MATCH(A54,Sprint!$B$2:$B$11,1)),"")</f>
        <v>S1</v>
      </c>
      <c r="C54" s="6" t="s">
        <v>37</v>
      </c>
      <c r="D54" s="6" t="s">
        <v>154</v>
      </c>
      <c r="E54" s="7" t="n">
        <v>0.25</v>
      </c>
      <c r="F54" s="6"/>
    </row>
    <row r="55" customFormat="false" ht="15" hidden="false" customHeight="false" outlineLevel="0" collapsed="false">
      <c r="A55" s="22" t="n">
        <v>46472</v>
      </c>
      <c r="B55" s="23" t="str">
        <f aca="false">IFERROR(INDEX(Sprint!$A$2:$A$11,MATCH(A55,Sprint!$B$2:$B$11,1)),"")</f>
        <v>S1</v>
      </c>
      <c r="C55" s="6" t="s">
        <v>37</v>
      </c>
      <c r="D55" s="6" t="s">
        <v>162</v>
      </c>
      <c r="E55" s="7" t="n">
        <v>0.25</v>
      </c>
      <c r="F55" s="6"/>
    </row>
    <row r="56" customFormat="false" ht="15" hidden="false" customHeight="false" outlineLevel="0" collapsed="false">
      <c r="A56" s="22" t="n">
        <v>46472</v>
      </c>
      <c r="B56" s="23" t="str">
        <f aca="false">IFERROR(INDEX(Sprint!$A$2:$A$11,MATCH(A56,Sprint!$B$2:$B$11,1)),"")</f>
        <v>S1</v>
      </c>
      <c r="C56" s="6" t="s">
        <v>37</v>
      </c>
      <c r="D56" s="6" t="s">
        <v>156</v>
      </c>
      <c r="E56" s="7" t="n">
        <v>0.25</v>
      </c>
      <c r="F56" s="6"/>
    </row>
    <row r="57" customFormat="false" ht="15" hidden="false" customHeight="false" outlineLevel="0" collapsed="false">
      <c r="A57" s="22" t="n">
        <v>46472</v>
      </c>
      <c r="B57" s="23" t="str">
        <f aca="false">IFERROR(INDEX(Sprint!$A$2:$A$11,MATCH(A57,Sprint!$B$2:$B$11,1)),"")</f>
        <v>S1</v>
      </c>
      <c r="C57" s="6" t="s">
        <v>49</v>
      </c>
      <c r="D57" s="6" t="s">
        <v>163</v>
      </c>
      <c r="E57" s="7" t="n">
        <v>1</v>
      </c>
      <c r="F57" s="6"/>
    </row>
    <row r="58" customFormat="false" ht="15" hidden="false" customHeight="false" outlineLevel="0" collapsed="false">
      <c r="A58" s="22" t="n">
        <v>46472</v>
      </c>
      <c r="B58" s="23" t="str">
        <f aca="false">IFERROR(INDEX(Sprint!$A$2:$A$11,MATCH(A58,Sprint!$B$2:$B$11,1)),"")</f>
        <v>S1</v>
      </c>
      <c r="C58" s="6" t="s">
        <v>44</v>
      </c>
      <c r="D58" s="6" t="s">
        <v>160</v>
      </c>
      <c r="E58" s="7" t="n">
        <v>1</v>
      </c>
      <c r="F58" s="6"/>
    </row>
    <row r="59" customFormat="false" ht="15" hidden="false" customHeight="false" outlineLevel="0" collapsed="false">
      <c r="A59" s="22" t="n">
        <v>46472</v>
      </c>
      <c r="B59" s="23" t="str">
        <f aca="false">IFERROR(INDEX(Sprint!$A$2:$A$11,MATCH(A59,Sprint!$B$2:$B$11,1)),"")</f>
        <v>S1</v>
      </c>
      <c r="C59" s="6" t="s">
        <v>47</v>
      </c>
      <c r="D59" s="6" t="s">
        <v>164</v>
      </c>
      <c r="E59" s="7" t="n">
        <v>1</v>
      </c>
      <c r="F59" s="6"/>
    </row>
    <row r="60" customFormat="false" ht="15" hidden="false" customHeight="false" outlineLevel="0" collapsed="false">
      <c r="A60" s="22" t="n">
        <v>46475</v>
      </c>
      <c r="B60" s="23" t="str">
        <f aca="false">IFERROR(INDEX(Sprint!$A$2:$A$11,MATCH(A60,Sprint!$B$2:$B$11,1)),"")</f>
        <v>S1</v>
      </c>
      <c r="C60" s="6" t="s">
        <v>52</v>
      </c>
      <c r="D60" s="6" t="s">
        <v>166</v>
      </c>
      <c r="E60" s="7" t="n">
        <v>1</v>
      </c>
      <c r="F60" s="6"/>
    </row>
    <row r="61" customFormat="false" ht="15" hidden="false" customHeight="false" outlineLevel="0" collapsed="false">
      <c r="A61" s="22" t="n">
        <v>46475</v>
      </c>
      <c r="B61" s="23" t="str">
        <f aca="false">IFERROR(INDEX(Sprint!$A$2:$A$11,MATCH(A61,Sprint!$B$2:$B$11,1)),"")</f>
        <v>S1</v>
      </c>
      <c r="C61" s="6" t="s">
        <v>37</v>
      </c>
      <c r="D61" s="6" t="s">
        <v>167</v>
      </c>
      <c r="E61" s="7" t="n">
        <v>0.5</v>
      </c>
      <c r="F61" s="6"/>
    </row>
    <row r="62" customFormat="false" ht="15" hidden="false" customHeight="false" outlineLevel="0" collapsed="false">
      <c r="A62" s="22" t="n">
        <v>46475</v>
      </c>
      <c r="B62" s="23" t="str">
        <f aca="false">IFERROR(INDEX(Sprint!$A$2:$A$11,MATCH(A62,Sprint!$B$2:$B$11,1)),"")</f>
        <v>S1</v>
      </c>
      <c r="C62" s="6" t="s">
        <v>37</v>
      </c>
      <c r="D62" s="6" t="s">
        <v>158</v>
      </c>
      <c r="E62" s="7" t="n">
        <v>0.25</v>
      </c>
      <c r="F62" s="6"/>
    </row>
    <row r="63" customFormat="false" ht="15" hidden="false" customHeight="false" outlineLevel="0" collapsed="false">
      <c r="A63" s="22" t="n">
        <v>46475</v>
      </c>
      <c r="B63" s="23" t="str">
        <f aca="false">IFERROR(INDEX(Sprint!$A$2:$A$11,MATCH(A63,Sprint!$B$2:$B$11,1)),"")</f>
        <v>S1</v>
      </c>
      <c r="C63" s="6" t="s">
        <v>37</v>
      </c>
      <c r="D63" s="6" t="s">
        <v>165</v>
      </c>
      <c r="E63" s="7" t="n">
        <v>0.25</v>
      </c>
      <c r="F63" s="6"/>
    </row>
    <row r="64" customFormat="false" ht="15" hidden="false" customHeight="false" outlineLevel="0" collapsed="false">
      <c r="A64" s="22" t="n">
        <v>46475</v>
      </c>
      <c r="B64" s="23" t="str">
        <f aca="false">IFERROR(INDEX(Sprint!$A$2:$A$11,MATCH(A64,Sprint!$B$2:$B$11,1)),"")</f>
        <v>S1</v>
      </c>
      <c r="C64" s="6" t="s">
        <v>49</v>
      </c>
      <c r="D64" s="6" t="s">
        <v>163</v>
      </c>
      <c r="E64" s="7" t="n">
        <v>1</v>
      </c>
      <c r="F64" s="6"/>
    </row>
    <row r="65" customFormat="false" ht="15" hidden="false" customHeight="false" outlineLevel="0" collapsed="false">
      <c r="A65" s="22" t="n">
        <v>46475</v>
      </c>
      <c r="B65" s="23" t="str">
        <f aca="false">IFERROR(INDEX(Sprint!$A$2:$A$11,MATCH(A65,Sprint!$B$2:$B$11,1)),"")</f>
        <v>S1</v>
      </c>
      <c r="C65" s="6" t="s">
        <v>44</v>
      </c>
      <c r="D65" s="6" t="s">
        <v>160</v>
      </c>
      <c r="E65" s="7" t="n">
        <v>0.5</v>
      </c>
      <c r="F65" s="6"/>
    </row>
    <row r="66" customFormat="false" ht="15" hidden="false" customHeight="false" outlineLevel="0" collapsed="false">
      <c r="A66" s="22" t="n">
        <v>46475</v>
      </c>
      <c r="B66" s="23" t="str">
        <f aca="false">IFERROR(INDEX(Sprint!$A$2:$A$11,MATCH(A66,Sprint!$B$2:$B$11,1)),"")</f>
        <v>S1</v>
      </c>
      <c r="C66" s="6" t="s">
        <v>47</v>
      </c>
      <c r="D66" s="6" t="s">
        <v>164</v>
      </c>
      <c r="E66" s="7" t="n">
        <v>1</v>
      </c>
      <c r="F66" s="6"/>
    </row>
    <row r="67" customFormat="false" ht="15" hidden="false" customHeight="false" outlineLevel="0" collapsed="false">
      <c r="A67" s="22" t="n">
        <v>46476</v>
      </c>
      <c r="B67" s="23" t="str">
        <f aca="false">IFERROR(INDEX(Sprint!$A$2:$A$11,MATCH(A67,Sprint!$B$2:$B$11,1)),"")</f>
        <v>S1</v>
      </c>
      <c r="C67" s="6" t="s">
        <v>52</v>
      </c>
      <c r="D67" s="6" t="s">
        <v>166</v>
      </c>
      <c r="E67" s="7" t="n">
        <v>1</v>
      </c>
      <c r="F67" s="6"/>
    </row>
    <row r="68" customFormat="false" ht="15" hidden="false" customHeight="false" outlineLevel="0" collapsed="false">
      <c r="A68" s="22" t="n">
        <v>46476</v>
      </c>
      <c r="B68" s="23" t="str">
        <f aca="false">IFERROR(INDEX(Sprint!$A$2:$A$11,MATCH(A68,Sprint!$B$2:$B$11,1)),"")</f>
        <v>S1</v>
      </c>
      <c r="C68" s="6" t="s">
        <v>37</v>
      </c>
      <c r="D68" s="6" t="s">
        <v>167</v>
      </c>
      <c r="E68" s="7" t="n">
        <v>0.5</v>
      </c>
      <c r="F68" s="6"/>
    </row>
    <row r="69" customFormat="false" ht="15" hidden="false" customHeight="false" outlineLevel="0" collapsed="false">
      <c r="A69" s="22" t="n">
        <v>46476</v>
      </c>
      <c r="B69" s="23" t="str">
        <f aca="false">IFERROR(INDEX(Sprint!$A$2:$A$11,MATCH(A69,Sprint!$B$2:$B$11,1)),"")</f>
        <v>S1</v>
      </c>
      <c r="C69" s="6" t="s">
        <v>37</v>
      </c>
      <c r="D69" s="6" t="s">
        <v>168</v>
      </c>
      <c r="E69" s="7" t="n">
        <v>0.5</v>
      </c>
      <c r="F69" s="6"/>
    </row>
    <row r="70" customFormat="false" ht="15" hidden="false" customHeight="false" outlineLevel="0" collapsed="false">
      <c r="A70" s="22" t="n">
        <v>46476</v>
      </c>
      <c r="B70" s="23" t="str">
        <f aca="false">IFERROR(INDEX(Sprint!$A$2:$A$11,MATCH(A70,Sprint!$B$2:$B$11,1)),"")</f>
        <v>S1</v>
      </c>
      <c r="C70" s="6" t="s">
        <v>49</v>
      </c>
      <c r="D70" s="6" t="s">
        <v>163</v>
      </c>
      <c r="E70" s="7" t="n">
        <v>1</v>
      </c>
      <c r="F70" s="6"/>
    </row>
    <row r="71" customFormat="false" ht="15" hidden="false" customHeight="false" outlineLevel="0" collapsed="false">
      <c r="A71" s="22" t="n">
        <v>46476</v>
      </c>
      <c r="B71" s="23" t="str">
        <f aca="false">IFERROR(INDEX(Sprint!$A$2:$A$11,MATCH(A71,Sprint!$B$2:$B$11,1)),"")</f>
        <v>S1</v>
      </c>
      <c r="C71" s="6" t="s">
        <v>47</v>
      </c>
      <c r="D71" s="6" t="s">
        <v>164</v>
      </c>
      <c r="E71" s="7" t="n">
        <v>1</v>
      </c>
      <c r="F71" s="6"/>
    </row>
    <row r="72" customFormat="false" ht="15" hidden="false" customHeight="false" outlineLevel="0" collapsed="false">
      <c r="A72" s="22" t="n">
        <v>46477</v>
      </c>
      <c r="B72" s="23" t="str">
        <f aca="false">IFERROR(INDEX(Sprint!$A$2:$A$11,MATCH(A72,Sprint!$B$2:$B$11,1)),"")</f>
        <v>S1</v>
      </c>
      <c r="C72" s="6" t="s">
        <v>52</v>
      </c>
      <c r="D72" s="6" t="s">
        <v>166</v>
      </c>
      <c r="E72" s="7" t="n">
        <v>1</v>
      </c>
      <c r="F72" s="6"/>
    </row>
    <row r="73" customFormat="false" ht="15" hidden="false" customHeight="false" outlineLevel="0" collapsed="false">
      <c r="A73" s="22" t="n">
        <v>46477</v>
      </c>
      <c r="B73" s="23" t="str">
        <f aca="false">IFERROR(INDEX(Sprint!$A$2:$A$11,MATCH(A73,Sprint!$B$2:$B$11,1)),"")</f>
        <v>S1</v>
      </c>
      <c r="C73" s="6" t="s">
        <v>37</v>
      </c>
      <c r="D73" s="6" t="s">
        <v>150</v>
      </c>
      <c r="E73" s="7" t="n">
        <v>0.25</v>
      </c>
      <c r="F73" s="6"/>
    </row>
    <row r="74" customFormat="false" ht="15" hidden="false" customHeight="false" outlineLevel="0" collapsed="false">
      <c r="A74" s="22" t="n">
        <v>46477</v>
      </c>
      <c r="B74" s="23" t="str">
        <f aca="false">IFERROR(INDEX(Sprint!$A$2:$A$11,MATCH(A74,Sprint!$B$2:$B$11,1)),"")</f>
        <v>S1</v>
      </c>
      <c r="C74" s="6" t="s">
        <v>37</v>
      </c>
      <c r="D74" s="6" t="s">
        <v>155</v>
      </c>
      <c r="E74" s="7" t="n">
        <v>0.25</v>
      </c>
      <c r="F74" s="6"/>
    </row>
    <row r="75" customFormat="false" ht="15" hidden="false" customHeight="false" outlineLevel="0" collapsed="false">
      <c r="A75" s="22" t="n">
        <v>46477</v>
      </c>
      <c r="B75" s="23" t="str">
        <f aca="false">IFERROR(INDEX(Sprint!$A$2:$A$11,MATCH(A75,Sprint!$B$2:$B$11,1)),"")</f>
        <v>S1</v>
      </c>
      <c r="C75" s="6" t="s">
        <v>37</v>
      </c>
      <c r="D75" s="6" t="s">
        <v>167</v>
      </c>
      <c r="E75" s="7" t="n">
        <v>0.5</v>
      </c>
      <c r="F75" s="6"/>
    </row>
    <row r="76" customFormat="false" ht="15" hidden="false" customHeight="false" outlineLevel="0" collapsed="false">
      <c r="A76" s="22" t="n">
        <v>46477</v>
      </c>
      <c r="B76" s="23" t="str">
        <f aca="false">IFERROR(INDEX(Sprint!$A$2:$A$11,MATCH(A76,Sprint!$B$2:$B$11,1)),"")</f>
        <v>S1</v>
      </c>
      <c r="C76" s="6" t="s">
        <v>49</v>
      </c>
      <c r="D76" s="6" t="s">
        <v>169</v>
      </c>
      <c r="E76" s="7" t="n">
        <v>1</v>
      </c>
      <c r="F76" s="6"/>
    </row>
    <row r="77" customFormat="false" ht="15" hidden="false" customHeight="false" outlineLevel="0" collapsed="false">
      <c r="A77" s="22" t="n">
        <v>46477</v>
      </c>
      <c r="B77" s="23" t="str">
        <f aca="false">IFERROR(INDEX(Sprint!$A$2:$A$11,MATCH(A77,Sprint!$B$2:$B$11,1)),"")</f>
        <v>S1</v>
      </c>
      <c r="C77" s="6" t="s">
        <v>44</v>
      </c>
      <c r="D77" s="6" t="s">
        <v>170</v>
      </c>
      <c r="E77" s="7" t="n">
        <v>1</v>
      </c>
      <c r="F77" s="6"/>
    </row>
    <row r="78" customFormat="false" ht="15" hidden="false" customHeight="false" outlineLevel="0" collapsed="false">
      <c r="A78" s="22" t="n">
        <v>46477</v>
      </c>
      <c r="B78" s="23" t="str">
        <f aca="false">IFERROR(INDEX(Sprint!$A$2:$A$11,MATCH(A78,Sprint!$B$2:$B$11,1)),"")</f>
        <v>S1</v>
      </c>
      <c r="C78" s="6" t="s">
        <v>47</v>
      </c>
      <c r="D78" s="6" t="s">
        <v>171</v>
      </c>
      <c r="E78" s="7" t="n">
        <v>1</v>
      </c>
      <c r="F78" s="6"/>
    </row>
    <row r="79" customFormat="false" ht="15" hidden="false" customHeight="false" outlineLevel="0" collapsed="false">
      <c r="A79" s="22" t="n">
        <v>46478</v>
      </c>
      <c r="B79" s="23" t="str">
        <f aca="false">IFERROR(INDEX(Sprint!$A$2:$A$11,MATCH(A79,Sprint!$B$2:$B$11,1)),"")</f>
        <v>S2</v>
      </c>
      <c r="C79" s="6" t="s">
        <v>56</v>
      </c>
      <c r="D79" s="6" t="s">
        <v>172</v>
      </c>
      <c r="E79" s="7" t="n">
        <v>1</v>
      </c>
      <c r="F79" s="6"/>
    </row>
    <row r="80" customFormat="false" ht="15" hidden="false" customHeight="false" outlineLevel="0" collapsed="false">
      <c r="A80" s="22" t="n">
        <v>46478</v>
      </c>
      <c r="B80" s="23" t="str">
        <f aca="false">IFERROR(INDEX(Sprint!$A$2:$A$11,MATCH(A80,Sprint!$B$2:$B$11,1)),"")</f>
        <v>S2</v>
      </c>
      <c r="C80" s="6" t="s">
        <v>52</v>
      </c>
      <c r="D80" s="6" t="s">
        <v>173</v>
      </c>
      <c r="E80" s="7" t="n">
        <v>1</v>
      </c>
      <c r="F80" s="6"/>
    </row>
    <row r="81" customFormat="false" ht="15" hidden="false" customHeight="false" outlineLevel="0" collapsed="false">
      <c r="A81" s="22" t="n">
        <v>46478</v>
      </c>
      <c r="B81" s="23" t="str">
        <f aca="false">IFERROR(INDEX(Sprint!$A$2:$A$11,MATCH(A81,Sprint!$B$2:$B$11,1)),"")</f>
        <v>S2</v>
      </c>
      <c r="C81" s="6" t="s">
        <v>37</v>
      </c>
      <c r="D81" s="6" t="s">
        <v>157</v>
      </c>
      <c r="E81" s="7" t="n">
        <v>0.25</v>
      </c>
      <c r="F81" s="6"/>
    </row>
    <row r="82" customFormat="false" ht="15" hidden="false" customHeight="false" outlineLevel="0" collapsed="false">
      <c r="A82" s="22" t="n">
        <v>46478</v>
      </c>
      <c r="B82" s="23" t="str">
        <f aca="false">IFERROR(INDEX(Sprint!$A$2:$A$11,MATCH(A82,Sprint!$B$2:$B$11,1)),"")</f>
        <v>S2</v>
      </c>
      <c r="C82" s="6" t="s">
        <v>37</v>
      </c>
      <c r="D82" s="6" t="s">
        <v>167</v>
      </c>
      <c r="E82" s="7" t="n">
        <v>0.5</v>
      </c>
      <c r="F82" s="6"/>
    </row>
    <row r="83" customFormat="false" ht="15" hidden="false" customHeight="false" outlineLevel="0" collapsed="false">
      <c r="A83" s="22" t="n">
        <v>46478</v>
      </c>
      <c r="B83" s="23" t="str">
        <f aca="false">IFERROR(INDEX(Sprint!$A$2:$A$11,MATCH(A83,Sprint!$B$2:$B$11,1)),"")</f>
        <v>S2</v>
      </c>
      <c r="C83" s="6" t="s">
        <v>37</v>
      </c>
      <c r="D83" s="6" t="s">
        <v>159</v>
      </c>
      <c r="E83" s="7" t="n">
        <v>0.25</v>
      </c>
      <c r="F83" s="6"/>
    </row>
    <row r="84" customFormat="false" ht="15" hidden="false" customHeight="false" outlineLevel="0" collapsed="false">
      <c r="A84" s="22" t="n">
        <v>46478</v>
      </c>
      <c r="B84" s="23" t="str">
        <f aca="false">IFERROR(INDEX(Sprint!$A$2:$A$11,MATCH(A84,Sprint!$B$2:$B$11,1)),"")</f>
        <v>S2</v>
      </c>
      <c r="C84" s="6" t="s">
        <v>49</v>
      </c>
      <c r="D84" s="6" t="s">
        <v>169</v>
      </c>
      <c r="E84" s="7" t="n">
        <v>1</v>
      </c>
      <c r="F84" s="6"/>
    </row>
    <row r="85" customFormat="false" ht="15" hidden="false" customHeight="false" outlineLevel="0" collapsed="false">
      <c r="A85" s="22" t="n">
        <v>46478</v>
      </c>
      <c r="B85" s="23" t="str">
        <f aca="false">IFERROR(INDEX(Sprint!$A$2:$A$11,MATCH(A85,Sprint!$B$2:$B$11,1)),"")</f>
        <v>S2</v>
      </c>
      <c r="C85" s="6" t="s">
        <v>44</v>
      </c>
      <c r="D85" s="6" t="s">
        <v>170</v>
      </c>
      <c r="E85" s="7" t="n">
        <v>1</v>
      </c>
      <c r="F85" s="6"/>
    </row>
    <row r="86" customFormat="false" ht="15" hidden="false" customHeight="false" outlineLevel="0" collapsed="false">
      <c r="A86" s="22" t="n">
        <v>46478</v>
      </c>
      <c r="B86" s="23" t="str">
        <f aca="false">IFERROR(INDEX(Sprint!$A$2:$A$11,MATCH(A86,Sprint!$B$2:$B$11,1)),"")</f>
        <v>S2</v>
      </c>
      <c r="C86" s="6" t="s">
        <v>47</v>
      </c>
      <c r="D86" s="6" t="s">
        <v>171</v>
      </c>
      <c r="E86" s="7" t="n">
        <v>1</v>
      </c>
      <c r="F86" s="6"/>
    </row>
    <row r="87" customFormat="false" ht="15" hidden="false" customHeight="false" outlineLevel="0" collapsed="false">
      <c r="A87" s="22" t="n">
        <v>46478</v>
      </c>
      <c r="B87" s="23" t="str">
        <f aca="false">IFERROR(INDEX(Sprint!$A$2:$A$11,MATCH(A87,Sprint!$B$2:$B$11,1)),"")</f>
        <v>S2</v>
      </c>
      <c r="C87" s="6" t="s">
        <v>41</v>
      </c>
      <c r="D87" s="6" t="s">
        <v>174</v>
      </c>
      <c r="E87" s="7" t="n">
        <v>1</v>
      </c>
      <c r="F87" s="6"/>
    </row>
    <row r="88" customFormat="false" ht="15" hidden="false" customHeight="false" outlineLevel="0" collapsed="false">
      <c r="A88" s="22" t="n">
        <v>46479</v>
      </c>
      <c r="B88" s="23" t="str">
        <f aca="false">IFERROR(INDEX(Sprint!$A$2:$A$11,MATCH(A88,Sprint!$B$2:$B$11,1)),"")</f>
        <v>S2</v>
      </c>
      <c r="C88" s="6" t="s">
        <v>56</v>
      </c>
      <c r="D88" s="6" t="s">
        <v>172</v>
      </c>
      <c r="E88" s="7" t="n">
        <v>1</v>
      </c>
      <c r="F88" s="6"/>
    </row>
    <row r="89" customFormat="false" ht="15" hidden="false" customHeight="false" outlineLevel="0" collapsed="false">
      <c r="A89" s="22" t="n">
        <v>46479</v>
      </c>
      <c r="B89" s="23" t="str">
        <f aca="false">IFERROR(INDEX(Sprint!$A$2:$A$11,MATCH(A89,Sprint!$B$2:$B$11,1)),"")</f>
        <v>S2</v>
      </c>
      <c r="C89" s="6" t="s">
        <v>52</v>
      </c>
      <c r="D89" s="6" t="s">
        <v>173</v>
      </c>
      <c r="E89" s="7" t="n">
        <v>1</v>
      </c>
      <c r="F89" s="6"/>
    </row>
    <row r="90" customFormat="false" ht="15" hidden="false" customHeight="false" outlineLevel="0" collapsed="false">
      <c r="A90" s="22" t="n">
        <v>46479</v>
      </c>
      <c r="B90" s="23" t="str">
        <f aca="false">IFERROR(INDEX(Sprint!$A$2:$A$11,MATCH(A90,Sprint!$B$2:$B$11,1)),"")</f>
        <v>S2</v>
      </c>
      <c r="C90" s="6" t="s">
        <v>37</v>
      </c>
      <c r="D90" s="6" t="s">
        <v>167</v>
      </c>
      <c r="E90" s="7" t="n">
        <v>0.5</v>
      </c>
      <c r="F90" s="6"/>
    </row>
    <row r="91" customFormat="false" ht="15" hidden="false" customHeight="false" outlineLevel="0" collapsed="false">
      <c r="A91" s="22" t="n">
        <v>46479</v>
      </c>
      <c r="B91" s="23" t="str">
        <f aca="false">IFERROR(INDEX(Sprint!$A$2:$A$11,MATCH(A91,Sprint!$B$2:$B$11,1)),"")</f>
        <v>S2</v>
      </c>
      <c r="C91" s="6" t="s">
        <v>37</v>
      </c>
      <c r="D91" s="6" t="s">
        <v>168</v>
      </c>
      <c r="E91" s="7" t="n">
        <v>0.25</v>
      </c>
      <c r="F91" s="6"/>
    </row>
    <row r="92" customFormat="false" ht="15" hidden="false" customHeight="false" outlineLevel="0" collapsed="false">
      <c r="A92" s="22" t="n">
        <v>46479</v>
      </c>
      <c r="B92" s="23" t="str">
        <f aca="false">IFERROR(INDEX(Sprint!$A$2:$A$11,MATCH(A92,Sprint!$B$2:$B$11,1)),"")</f>
        <v>S2</v>
      </c>
      <c r="C92" s="6" t="s">
        <v>37</v>
      </c>
      <c r="D92" s="6" t="s">
        <v>175</v>
      </c>
      <c r="E92" s="7" t="n">
        <v>0.25</v>
      </c>
      <c r="F92" s="6"/>
    </row>
    <row r="93" customFormat="false" ht="15" hidden="false" customHeight="false" outlineLevel="0" collapsed="false">
      <c r="A93" s="22" t="n">
        <v>46479</v>
      </c>
      <c r="B93" s="23" t="str">
        <f aca="false">IFERROR(INDEX(Sprint!$A$2:$A$11,MATCH(A93,Sprint!$B$2:$B$11,1)),"")</f>
        <v>S2</v>
      </c>
      <c r="C93" s="6" t="s">
        <v>49</v>
      </c>
      <c r="D93" s="6" t="s">
        <v>169</v>
      </c>
      <c r="E93" s="7" t="n">
        <v>1</v>
      </c>
      <c r="F93" s="6"/>
    </row>
    <row r="94" customFormat="false" ht="15" hidden="false" customHeight="false" outlineLevel="0" collapsed="false">
      <c r="A94" s="22" t="n">
        <v>46479</v>
      </c>
      <c r="B94" s="23" t="str">
        <f aca="false">IFERROR(INDEX(Sprint!$A$2:$A$11,MATCH(A94,Sprint!$B$2:$B$11,1)),"")</f>
        <v>S2</v>
      </c>
      <c r="C94" s="6" t="s">
        <v>44</v>
      </c>
      <c r="D94" s="6" t="s">
        <v>170</v>
      </c>
      <c r="E94" s="7" t="n">
        <v>1</v>
      </c>
      <c r="F94" s="6"/>
    </row>
    <row r="95" customFormat="false" ht="15" hidden="false" customHeight="false" outlineLevel="0" collapsed="false">
      <c r="A95" s="22" t="n">
        <v>46479</v>
      </c>
      <c r="B95" s="23" t="str">
        <f aca="false">IFERROR(INDEX(Sprint!$A$2:$A$11,MATCH(A95,Sprint!$B$2:$B$11,1)),"")</f>
        <v>S2</v>
      </c>
      <c r="C95" s="6" t="s">
        <v>47</v>
      </c>
      <c r="D95" s="6" t="s">
        <v>171</v>
      </c>
      <c r="E95" s="7" t="n">
        <v>1</v>
      </c>
      <c r="F95" s="6"/>
    </row>
    <row r="96" customFormat="false" ht="15" hidden="false" customHeight="false" outlineLevel="0" collapsed="false">
      <c r="A96" s="22" t="n">
        <v>46479</v>
      </c>
      <c r="B96" s="23" t="str">
        <f aca="false">IFERROR(INDEX(Sprint!$A$2:$A$11,MATCH(A96,Sprint!$B$2:$B$11,1)),"")</f>
        <v>S2</v>
      </c>
      <c r="C96" s="6" t="s">
        <v>41</v>
      </c>
      <c r="D96" s="6" t="s">
        <v>174</v>
      </c>
      <c r="E96" s="7" t="n">
        <v>1</v>
      </c>
      <c r="F96" s="6"/>
    </row>
    <row r="97" customFormat="false" ht="15" hidden="false" customHeight="false" outlineLevel="0" collapsed="false">
      <c r="A97" s="22" t="n">
        <v>46482</v>
      </c>
      <c r="B97" s="23" t="str">
        <f aca="false">IFERROR(INDEX(Sprint!$A$2:$A$11,MATCH(A97,Sprint!$B$2:$B$11,1)),"")</f>
        <v>S2</v>
      </c>
      <c r="C97" s="6" t="s">
        <v>56</v>
      </c>
      <c r="D97" s="6" t="s">
        <v>172</v>
      </c>
      <c r="E97" s="7" t="n">
        <v>1</v>
      </c>
      <c r="F97" s="6"/>
    </row>
    <row r="98" customFormat="false" ht="15" hidden="false" customHeight="false" outlineLevel="0" collapsed="false">
      <c r="A98" s="22" t="n">
        <v>46482</v>
      </c>
      <c r="B98" s="23" t="str">
        <f aca="false">IFERROR(INDEX(Sprint!$A$2:$A$11,MATCH(A98,Sprint!$B$2:$B$11,1)),"")</f>
        <v>S2</v>
      </c>
      <c r="C98" s="6" t="s">
        <v>52</v>
      </c>
      <c r="D98" s="6" t="s">
        <v>173</v>
      </c>
      <c r="E98" s="7" t="n">
        <v>1</v>
      </c>
      <c r="F98" s="6"/>
    </row>
    <row r="99" customFormat="false" ht="15" hidden="false" customHeight="false" outlineLevel="0" collapsed="false">
      <c r="A99" s="22" t="n">
        <v>46482</v>
      </c>
      <c r="B99" s="23" t="str">
        <f aca="false">IFERROR(INDEX(Sprint!$A$2:$A$11,MATCH(A99,Sprint!$B$2:$B$11,1)),"")</f>
        <v>S2</v>
      </c>
      <c r="C99" s="6" t="s">
        <v>62</v>
      </c>
      <c r="D99" s="6" t="s">
        <v>176</v>
      </c>
      <c r="E99" s="7" t="n">
        <v>1</v>
      </c>
      <c r="F99" s="6"/>
    </row>
    <row r="100" customFormat="false" ht="15" hidden="false" customHeight="false" outlineLevel="0" collapsed="false">
      <c r="A100" s="22" t="n">
        <v>46482</v>
      </c>
      <c r="B100" s="23" t="str">
        <f aca="false">IFERROR(INDEX(Sprint!$A$2:$A$11,MATCH(A100,Sprint!$B$2:$B$11,1)),"")</f>
        <v>S2</v>
      </c>
      <c r="C100" s="6" t="s">
        <v>37</v>
      </c>
      <c r="D100" s="6" t="s">
        <v>151</v>
      </c>
      <c r="E100" s="7" t="n">
        <v>0.25</v>
      </c>
      <c r="F100" s="6"/>
    </row>
    <row r="101" customFormat="false" ht="15" hidden="false" customHeight="false" outlineLevel="0" collapsed="false">
      <c r="A101" s="22" t="n">
        <v>46482</v>
      </c>
      <c r="B101" s="23" t="str">
        <f aca="false">IFERROR(INDEX(Sprint!$A$2:$A$11,MATCH(A101,Sprint!$B$2:$B$11,1)),"")</f>
        <v>S2</v>
      </c>
      <c r="C101" s="6" t="s">
        <v>37</v>
      </c>
      <c r="D101" s="6" t="s">
        <v>154</v>
      </c>
      <c r="E101" s="7" t="n">
        <v>0.25</v>
      </c>
      <c r="F101" s="6"/>
    </row>
    <row r="102" customFormat="false" ht="15" hidden="false" customHeight="false" outlineLevel="0" collapsed="false">
      <c r="A102" s="22" t="n">
        <v>46482</v>
      </c>
      <c r="B102" s="23" t="str">
        <f aca="false">IFERROR(INDEX(Sprint!$A$2:$A$11,MATCH(A102,Sprint!$B$2:$B$11,1)),"")</f>
        <v>S2</v>
      </c>
      <c r="C102" s="6" t="s">
        <v>37</v>
      </c>
      <c r="D102" s="6" t="s">
        <v>167</v>
      </c>
      <c r="E102" s="7" t="n">
        <v>0.5</v>
      </c>
      <c r="F102" s="6"/>
    </row>
    <row r="103" customFormat="false" ht="15" hidden="false" customHeight="false" outlineLevel="0" collapsed="false">
      <c r="A103" s="22" t="n">
        <v>46482</v>
      </c>
      <c r="B103" s="23" t="str">
        <f aca="false">IFERROR(INDEX(Sprint!$A$2:$A$11,MATCH(A103,Sprint!$B$2:$B$11,1)),"")</f>
        <v>S2</v>
      </c>
      <c r="C103" s="6" t="s">
        <v>49</v>
      </c>
      <c r="D103" s="6" t="s">
        <v>169</v>
      </c>
      <c r="E103" s="7" t="n">
        <v>1</v>
      </c>
      <c r="F103" s="6"/>
    </row>
    <row r="104" customFormat="false" ht="15" hidden="false" customHeight="false" outlineLevel="0" collapsed="false">
      <c r="A104" s="22" t="n">
        <v>46482</v>
      </c>
      <c r="B104" s="23" t="str">
        <f aca="false">IFERROR(INDEX(Sprint!$A$2:$A$11,MATCH(A104,Sprint!$B$2:$B$11,1)),"")</f>
        <v>S2</v>
      </c>
      <c r="C104" s="6" t="s">
        <v>44</v>
      </c>
      <c r="D104" s="6" t="s">
        <v>170</v>
      </c>
      <c r="E104" s="7" t="n">
        <v>1</v>
      </c>
      <c r="F104" s="6"/>
    </row>
    <row r="105" customFormat="false" ht="15" hidden="false" customHeight="false" outlineLevel="0" collapsed="false">
      <c r="A105" s="22" t="n">
        <v>46482</v>
      </c>
      <c r="B105" s="23" t="str">
        <f aca="false">IFERROR(INDEX(Sprint!$A$2:$A$11,MATCH(A105,Sprint!$B$2:$B$11,1)),"")</f>
        <v>S2</v>
      </c>
      <c r="C105" s="6" t="s">
        <v>47</v>
      </c>
      <c r="D105" s="6" t="s">
        <v>171</v>
      </c>
      <c r="E105" s="7" t="n">
        <v>1</v>
      </c>
      <c r="F105" s="6"/>
    </row>
    <row r="106" customFormat="false" ht="15" hidden="false" customHeight="false" outlineLevel="0" collapsed="false">
      <c r="A106" s="22" t="n">
        <v>46482</v>
      </c>
      <c r="B106" s="23" t="str">
        <f aca="false">IFERROR(INDEX(Sprint!$A$2:$A$11,MATCH(A106,Sprint!$B$2:$B$11,1)),"")</f>
        <v>S2</v>
      </c>
      <c r="C106" s="6" t="s">
        <v>41</v>
      </c>
      <c r="D106" s="6" t="s">
        <v>174</v>
      </c>
      <c r="E106" s="7" t="n">
        <v>1</v>
      </c>
      <c r="F106" s="6"/>
    </row>
    <row r="107" customFormat="false" ht="15" hidden="false" customHeight="false" outlineLevel="0" collapsed="false">
      <c r="A107" s="22" t="n">
        <v>46483</v>
      </c>
      <c r="B107" s="23" t="str">
        <f aca="false">IFERROR(INDEX(Sprint!$A$2:$A$11,MATCH(A107,Sprint!$B$2:$B$11,1)),"")</f>
        <v>S2</v>
      </c>
      <c r="C107" s="6" t="s">
        <v>56</v>
      </c>
      <c r="D107" s="6" t="s">
        <v>177</v>
      </c>
      <c r="E107" s="7" t="n">
        <v>1</v>
      </c>
      <c r="F107" s="6"/>
    </row>
    <row r="108" customFormat="false" ht="15" hidden="false" customHeight="false" outlineLevel="0" collapsed="false">
      <c r="A108" s="22" t="n">
        <v>46483</v>
      </c>
      <c r="B108" s="23" t="str">
        <f aca="false">IFERROR(INDEX(Sprint!$A$2:$A$11,MATCH(A108,Sprint!$B$2:$B$11,1)),"")</f>
        <v>S2</v>
      </c>
      <c r="C108" s="6" t="s">
        <v>52</v>
      </c>
      <c r="D108" s="6" t="s">
        <v>178</v>
      </c>
      <c r="E108" s="7" t="n">
        <v>1</v>
      </c>
      <c r="F108" s="6"/>
    </row>
    <row r="109" customFormat="false" ht="15" hidden="false" customHeight="false" outlineLevel="0" collapsed="false">
      <c r="A109" s="22" t="n">
        <v>46483</v>
      </c>
      <c r="B109" s="23" t="str">
        <f aca="false">IFERROR(INDEX(Sprint!$A$2:$A$11,MATCH(A109,Sprint!$B$2:$B$11,1)),"")</f>
        <v>S2</v>
      </c>
      <c r="C109" s="6" t="s">
        <v>62</v>
      </c>
      <c r="D109" s="6" t="s">
        <v>176</v>
      </c>
      <c r="E109" s="7" t="n">
        <v>1</v>
      </c>
      <c r="F109" s="6"/>
    </row>
    <row r="110" customFormat="false" ht="15" hidden="false" customHeight="false" outlineLevel="0" collapsed="false">
      <c r="A110" s="22" t="n">
        <v>46483</v>
      </c>
      <c r="B110" s="23" t="str">
        <f aca="false">IFERROR(INDEX(Sprint!$A$2:$A$11,MATCH(A110,Sprint!$B$2:$B$11,1)),"")</f>
        <v>S2</v>
      </c>
      <c r="C110" s="6" t="s">
        <v>37</v>
      </c>
      <c r="D110" s="6" t="s">
        <v>150</v>
      </c>
      <c r="E110" s="7" t="n">
        <v>0.25</v>
      </c>
      <c r="F110" s="6"/>
    </row>
    <row r="111" customFormat="false" ht="15" hidden="false" customHeight="false" outlineLevel="0" collapsed="false">
      <c r="A111" s="22" t="n">
        <v>46483</v>
      </c>
      <c r="B111" s="23" t="str">
        <f aca="false">IFERROR(INDEX(Sprint!$A$2:$A$11,MATCH(A111,Sprint!$B$2:$B$11,1)),"")</f>
        <v>S2</v>
      </c>
      <c r="C111" s="6" t="s">
        <v>37</v>
      </c>
      <c r="D111" s="6" t="s">
        <v>155</v>
      </c>
      <c r="E111" s="7" t="n">
        <v>0.25</v>
      </c>
      <c r="F111" s="6"/>
    </row>
    <row r="112" customFormat="false" ht="15" hidden="false" customHeight="false" outlineLevel="0" collapsed="false">
      <c r="A112" s="22" t="n">
        <v>46483</v>
      </c>
      <c r="B112" s="23" t="str">
        <f aca="false">IFERROR(INDEX(Sprint!$A$2:$A$11,MATCH(A112,Sprint!$B$2:$B$11,1)),"")</f>
        <v>S2</v>
      </c>
      <c r="C112" s="6" t="s">
        <v>37</v>
      </c>
      <c r="D112" s="6" t="s">
        <v>167</v>
      </c>
      <c r="E112" s="7" t="n">
        <v>0.5</v>
      </c>
      <c r="F112" s="6"/>
    </row>
    <row r="113" customFormat="false" ht="15" hidden="false" customHeight="false" outlineLevel="0" collapsed="false">
      <c r="A113" s="22" t="n">
        <v>46483</v>
      </c>
      <c r="B113" s="23" t="str">
        <f aca="false">IFERROR(INDEX(Sprint!$A$2:$A$11,MATCH(A113,Sprint!$B$2:$B$11,1)),"")</f>
        <v>S2</v>
      </c>
      <c r="C113" s="6" t="s">
        <v>49</v>
      </c>
      <c r="D113" s="6" t="s">
        <v>179</v>
      </c>
      <c r="E113" s="7" t="n">
        <v>1</v>
      </c>
      <c r="F113" s="6"/>
    </row>
    <row r="114" customFormat="false" ht="15" hidden="false" customHeight="false" outlineLevel="0" collapsed="false">
      <c r="A114" s="22" t="n">
        <v>46483</v>
      </c>
      <c r="B114" s="23" t="str">
        <f aca="false">IFERROR(INDEX(Sprint!$A$2:$A$11,MATCH(A114,Sprint!$B$2:$B$11,1)),"")</f>
        <v>S2</v>
      </c>
      <c r="C114" s="6" t="s">
        <v>44</v>
      </c>
      <c r="D114" s="6" t="s">
        <v>177</v>
      </c>
      <c r="E114" s="7" t="n">
        <v>1</v>
      </c>
      <c r="F114" s="6"/>
    </row>
    <row r="115" customFormat="false" ht="15" hidden="false" customHeight="false" outlineLevel="0" collapsed="false">
      <c r="A115" s="22" t="n">
        <v>46483</v>
      </c>
      <c r="B115" s="23" t="str">
        <f aca="false">IFERROR(INDEX(Sprint!$A$2:$A$11,MATCH(A115,Sprint!$B$2:$B$11,1)),"")</f>
        <v>S2</v>
      </c>
      <c r="C115" s="6" t="s">
        <v>47</v>
      </c>
      <c r="D115" s="6" t="s">
        <v>171</v>
      </c>
      <c r="E115" s="7" t="n">
        <v>1</v>
      </c>
      <c r="F115" s="6"/>
    </row>
    <row r="116" customFormat="false" ht="15" hidden="false" customHeight="false" outlineLevel="0" collapsed="false">
      <c r="A116" s="22" t="n">
        <v>46483</v>
      </c>
      <c r="B116" s="23" t="str">
        <f aca="false">IFERROR(INDEX(Sprint!$A$2:$A$11,MATCH(A116,Sprint!$B$2:$B$11,1)),"")</f>
        <v>S2</v>
      </c>
      <c r="C116" s="6" t="s">
        <v>41</v>
      </c>
      <c r="D116" s="6" t="s">
        <v>174</v>
      </c>
      <c r="E116" s="7" t="n">
        <v>1</v>
      </c>
      <c r="F116" s="6"/>
    </row>
    <row r="117" customFormat="false" ht="15" hidden="false" customHeight="false" outlineLevel="0" collapsed="false">
      <c r="A117" s="22" t="n">
        <v>46484</v>
      </c>
      <c r="B117" s="23" t="str">
        <f aca="false">IFERROR(INDEX(Sprint!$A$2:$A$11,MATCH(A117,Sprint!$B$2:$B$11,1)),"")</f>
        <v>S2</v>
      </c>
      <c r="C117" s="6" t="s">
        <v>56</v>
      </c>
      <c r="D117" s="6" t="s">
        <v>177</v>
      </c>
      <c r="E117" s="7" t="n">
        <v>1</v>
      </c>
      <c r="F117" s="6"/>
    </row>
    <row r="118" customFormat="false" ht="15" hidden="false" customHeight="false" outlineLevel="0" collapsed="false">
      <c r="A118" s="22" t="n">
        <v>46484</v>
      </c>
      <c r="B118" s="23" t="str">
        <f aca="false">IFERROR(INDEX(Sprint!$A$2:$A$11,MATCH(A118,Sprint!$B$2:$B$11,1)),"")</f>
        <v>S2</v>
      </c>
      <c r="C118" s="6" t="s">
        <v>52</v>
      </c>
      <c r="D118" s="6" t="s">
        <v>178</v>
      </c>
      <c r="E118" s="7" t="n">
        <v>1</v>
      </c>
      <c r="F118" s="6"/>
    </row>
    <row r="119" customFormat="false" ht="15" hidden="false" customHeight="false" outlineLevel="0" collapsed="false">
      <c r="A119" s="22" t="n">
        <v>46484</v>
      </c>
      <c r="B119" s="23" t="str">
        <f aca="false">IFERROR(INDEX(Sprint!$A$2:$A$11,MATCH(A119,Sprint!$B$2:$B$11,1)),"")</f>
        <v>S2</v>
      </c>
      <c r="C119" s="6" t="s">
        <v>62</v>
      </c>
      <c r="D119" s="6" t="s">
        <v>176</v>
      </c>
      <c r="E119" s="7" t="n">
        <v>1</v>
      </c>
      <c r="F119" s="6"/>
    </row>
    <row r="120" customFormat="false" ht="15" hidden="false" customHeight="false" outlineLevel="0" collapsed="false">
      <c r="A120" s="22" t="n">
        <v>46484</v>
      </c>
      <c r="B120" s="23" t="str">
        <f aca="false">IFERROR(INDEX(Sprint!$A$2:$A$11,MATCH(A120,Sprint!$B$2:$B$11,1)),"")</f>
        <v>S2</v>
      </c>
      <c r="C120" s="6" t="s">
        <v>37</v>
      </c>
      <c r="D120" s="6" t="s">
        <v>156</v>
      </c>
      <c r="E120" s="7" t="n">
        <v>0.25</v>
      </c>
      <c r="F120" s="6"/>
    </row>
    <row r="121" customFormat="false" ht="15" hidden="false" customHeight="false" outlineLevel="0" collapsed="false">
      <c r="A121" s="22" t="n">
        <v>46484</v>
      </c>
      <c r="B121" s="23" t="str">
        <f aca="false">IFERROR(INDEX(Sprint!$A$2:$A$11,MATCH(A121,Sprint!$B$2:$B$11,1)),"")</f>
        <v>S2</v>
      </c>
      <c r="C121" s="6" t="s">
        <v>37</v>
      </c>
      <c r="D121" s="6" t="s">
        <v>167</v>
      </c>
      <c r="E121" s="7" t="n">
        <v>0.5</v>
      </c>
      <c r="F121" s="6"/>
    </row>
    <row r="122" customFormat="false" ht="15" hidden="false" customHeight="false" outlineLevel="0" collapsed="false">
      <c r="A122" s="22" t="n">
        <v>46484</v>
      </c>
      <c r="B122" s="23" t="str">
        <f aca="false">IFERROR(INDEX(Sprint!$A$2:$A$11,MATCH(A122,Sprint!$B$2:$B$11,1)),"")</f>
        <v>S2</v>
      </c>
      <c r="C122" s="6" t="s">
        <v>37</v>
      </c>
      <c r="D122" s="6" t="s">
        <v>158</v>
      </c>
      <c r="E122" s="7" t="n">
        <v>0.25</v>
      </c>
      <c r="F122" s="6"/>
    </row>
    <row r="123" customFormat="false" ht="15" hidden="false" customHeight="false" outlineLevel="0" collapsed="false">
      <c r="A123" s="22" t="n">
        <v>46484</v>
      </c>
      <c r="B123" s="23" t="str">
        <f aca="false">IFERROR(INDEX(Sprint!$A$2:$A$11,MATCH(A123,Sprint!$B$2:$B$11,1)),"")</f>
        <v>S2</v>
      </c>
      <c r="C123" s="6" t="s">
        <v>49</v>
      </c>
      <c r="D123" s="6" t="s">
        <v>179</v>
      </c>
      <c r="E123" s="7" t="n">
        <v>1</v>
      </c>
      <c r="F123" s="6"/>
    </row>
    <row r="124" customFormat="false" ht="15" hidden="false" customHeight="false" outlineLevel="0" collapsed="false">
      <c r="A124" s="22" t="n">
        <v>46484</v>
      </c>
      <c r="B124" s="23" t="str">
        <f aca="false">IFERROR(INDEX(Sprint!$A$2:$A$11,MATCH(A124,Sprint!$B$2:$B$11,1)),"")</f>
        <v>S2</v>
      </c>
      <c r="C124" s="6" t="s">
        <v>44</v>
      </c>
      <c r="D124" s="6" t="s">
        <v>177</v>
      </c>
      <c r="E124" s="7" t="n">
        <v>1</v>
      </c>
      <c r="F124" s="6"/>
    </row>
    <row r="125" customFormat="false" ht="15" hidden="false" customHeight="false" outlineLevel="0" collapsed="false">
      <c r="A125" s="22" t="n">
        <v>46484</v>
      </c>
      <c r="B125" s="23" t="str">
        <f aca="false">IFERROR(INDEX(Sprint!$A$2:$A$11,MATCH(A125,Sprint!$B$2:$B$11,1)),"")</f>
        <v>S2</v>
      </c>
      <c r="C125" s="6" t="s">
        <v>47</v>
      </c>
      <c r="D125" s="6" t="s">
        <v>171</v>
      </c>
      <c r="E125" s="7" t="n">
        <v>1</v>
      </c>
      <c r="F125" s="6"/>
    </row>
    <row r="126" customFormat="false" ht="15" hidden="false" customHeight="false" outlineLevel="0" collapsed="false">
      <c r="A126" s="22" t="n">
        <v>46484</v>
      </c>
      <c r="B126" s="23" t="str">
        <f aca="false">IFERROR(INDEX(Sprint!$A$2:$A$11,MATCH(A126,Sprint!$B$2:$B$11,1)),"")</f>
        <v>S2</v>
      </c>
      <c r="C126" s="6" t="s">
        <v>41</v>
      </c>
      <c r="D126" s="6" t="s">
        <v>174</v>
      </c>
      <c r="E126" s="7" t="n">
        <v>1</v>
      </c>
      <c r="F126" s="6"/>
    </row>
    <row r="127" customFormat="false" ht="15" hidden="false" customHeight="false" outlineLevel="0" collapsed="false">
      <c r="A127" s="22" t="n">
        <v>46485</v>
      </c>
      <c r="B127" s="23" t="str">
        <f aca="false">IFERROR(INDEX(Sprint!$A$2:$A$11,MATCH(A127,Sprint!$B$2:$B$11,1)),"")</f>
        <v>S2</v>
      </c>
      <c r="C127" s="6" t="s">
        <v>56</v>
      </c>
      <c r="D127" s="6" t="s">
        <v>180</v>
      </c>
      <c r="E127" s="7" t="n">
        <v>1</v>
      </c>
      <c r="F127" s="6"/>
    </row>
    <row r="128" customFormat="false" ht="15" hidden="false" customHeight="false" outlineLevel="0" collapsed="false">
      <c r="A128" s="22" t="n">
        <v>46485</v>
      </c>
      <c r="B128" s="23" t="str">
        <f aca="false">IFERROR(INDEX(Sprint!$A$2:$A$11,MATCH(A128,Sprint!$B$2:$B$11,1)),"")</f>
        <v>S2</v>
      </c>
      <c r="C128" s="6" t="s">
        <v>52</v>
      </c>
      <c r="D128" s="6" t="s">
        <v>178</v>
      </c>
      <c r="E128" s="7" t="n">
        <v>1</v>
      </c>
      <c r="F128" s="6"/>
    </row>
    <row r="129" customFormat="false" ht="15" hidden="false" customHeight="false" outlineLevel="0" collapsed="false">
      <c r="A129" s="22" t="n">
        <v>46485</v>
      </c>
      <c r="B129" s="23" t="str">
        <f aca="false">IFERROR(INDEX(Sprint!$A$2:$A$11,MATCH(A129,Sprint!$B$2:$B$11,1)),"")</f>
        <v>S2</v>
      </c>
      <c r="C129" s="6" t="s">
        <v>62</v>
      </c>
      <c r="D129" s="6" t="s">
        <v>176</v>
      </c>
      <c r="E129" s="7" t="n">
        <v>0.5</v>
      </c>
      <c r="F129" s="6"/>
    </row>
    <row r="130" customFormat="false" ht="15" hidden="false" customHeight="false" outlineLevel="0" collapsed="false">
      <c r="A130" s="22" t="n">
        <v>46485</v>
      </c>
      <c r="B130" s="23" t="str">
        <f aca="false">IFERROR(INDEX(Sprint!$A$2:$A$11,MATCH(A130,Sprint!$B$2:$B$11,1)),"")</f>
        <v>S2</v>
      </c>
      <c r="C130" s="6" t="s">
        <v>37</v>
      </c>
      <c r="D130" s="6" t="s">
        <v>157</v>
      </c>
      <c r="E130" s="7" t="n">
        <v>0.25</v>
      </c>
      <c r="F130" s="6"/>
    </row>
    <row r="131" customFormat="false" ht="15" hidden="false" customHeight="false" outlineLevel="0" collapsed="false">
      <c r="A131" s="22" t="n">
        <v>46485</v>
      </c>
      <c r="B131" s="23" t="str">
        <f aca="false">IFERROR(INDEX(Sprint!$A$2:$A$11,MATCH(A131,Sprint!$B$2:$B$11,1)),"")</f>
        <v>S2</v>
      </c>
      <c r="C131" s="6" t="s">
        <v>37</v>
      </c>
      <c r="D131" s="6" t="s">
        <v>181</v>
      </c>
      <c r="E131" s="7" t="n">
        <v>0.5</v>
      </c>
      <c r="F131" s="6"/>
    </row>
    <row r="132" customFormat="false" ht="15" hidden="false" customHeight="false" outlineLevel="0" collapsed="false">
      <c r="A132" s="22" t="n">
        <v>46485</v>
      </c>
      <c r="B132" s="23" t="str">
        <f aca="false">IFERROR(INDEX(Sprint!$A$2:$A$11,MATCH(A132,Sprint!$B$2:$B$11,1)),"")</f>
        <v>S2</v>
      </c>
      <c r="C132" s="6" t="s">
        <v>37</v>
      </c>
      <c r="D132" s="6" t="s">
        <v>165</v>
      </c>
      <c r="E132" s="7" t="n">
        <v>0.25</v>
      </c>
      <c r="F132" s="6"/>
    </row>
    <row r="133" customFormat="false" ht="15" hidden="false" customHeight="false" outlineLevel="0" collapsed="false">
      <c r="A133" s="22" t="n">
        <v>46485</v>
      </c>
      <c r="B133" s="23" t="str">
        <f aca="false">IFERROR(INDEX(Sprint!$A$2:$A$11,MATCH(A133,Sprint!$B$2:$B$11,1)),"")</f>
        <v>S2</v>
      </c>
      <c r="C133" s="6" t="s">
        <v>49</v>
      </c>
      <c r="D133" s="6" t="s">
        <v>179</v>
      </c>
      <c r="E133" s="7" t="n">
        <v>1</v>
      </c>
      <c r="F133" s="6"/>
    </row>
    <row r="134" customFormat="false" ht="15" hidden="false" customHeight="false" outlineLevel="0" collapsed="false">
      <c r="A134" s="22" t="n">
        <v>46485</v>
      </c>
      <c r="B134" s="23" t="str">
        <f aca="false">IFERROR(INDEX(Sprint!$A$2:$A$11,MATCH(A134,Sprint!$B$2:$B$11,1)),"")</f>
        <v>S2</v>
      </c>
      <c r="C134" s="6" t="s">
        <v>44</v>
      </c>
      <c r="D134" s="6" t="s">
        <v>182</v>
      </c>
      <c r="E134" s="7" t="n">
        <v>1</v>
      </c>
      <c r="F134" s="6"/>
    </row>
    <row r="135" customFormat="false" ht="15" hidden="false" customHeight="false" outlineLevel="0" collapsed="false">
      <c r="A135" s="22" t="n">
        <v>46485</v>
      </c>
      <c r="B135" s="23" t="str">
        <f aca="false">IFERROR(INDEX(Sprint!$A$2:$A$11,MATCH(A135,Sprint!$B$2:$B$11,1)),"")</f>
        <v>S2</v>
      </c>
      <c r="C135" s="6" t="s">
        <v>47</v>
      </c>
      <c r="D135" s="6" t="s">
        <v>171</v>
      </c>
      <c r="E135" s="7" t="n">
        <v>0.25</v>
      </c>
      <c r="F135" s="6"/>
    </row>
    <row r="136" customFormat="false" ht="15" hidden="false" customHeight="false" outlineLevel="0" collapsed="false">
      <c r="A136" s="22" t="n">
        <v>46485</v>
      </c>
      <c r="B136" s="23" t="str">
        <f aca="false">IFERROR(INDEX(Sprint!$A$2:$A$11,MATCH(A136,Sprint!$B$2:$B$11,1)),"")</f>
        <v>S2</v>
      </c>
      <c r="C136" s="6" t="s">
        <v>47</v>
      </c>
      <c r="D136" s="6" t="s">
        <v>183</v>
      </c>
      <c r="E136" s="7" t="n">
        <v>0.75</v>
      </c>
      <c r="F136" s="6"/>
    </row>
    <row r="137" customFormat="false" ht="15" hidden="false" customHeight="false" outlineLevel="0" collapsed="false">
      <c r="A137" s="22" t="n">
        <v>46486</v>
      </c>
      <c r="B137" s="23" t="str">
        <f aca="false">IFERROR(INDEX(Sprint!$A$2:$A$11,MATCH(A137,Sprint!$B$2:$B$11,1)),"")</f>
        <v>S2</v>
      </c>
      <c r="C137" s="6" t="s">
        <v>56</v>
      </c>
      <c r="D137" s="6" t="s">
        <v>180</v>
      </c>
      <c r="E137" s="7" t="n">
        <v>1</v>
      </c>
      <c r="F137" s="6"/>
    </row>
    <row r="138" customFormat="false" ht="15" hidden="false" customHeight="false" outlineLevel="0" collapsed="false">
      <c r="A138" s="22" t="n">
        <v>46486</v>
      </c>
      <c r="B138" s="23" t="str">
        <f aca="false">IFERROR(INDEX(Sprint!$A$2:$A$11,MATCH(A138,Sprint!$B$2:$B$11,1)),"")</f>
        <v>S2</v>
      </c>
      <c r="C138" s="6" t="s">
        <v>58</v>
      </c>
      <c r="D138" s="6" t="s">
        <v>184</v>
      </c>
      <c r="E138" s="7" t="n">
        <v>1</v>
      </c>
      <c r="F138" s="6"/>
    </row>
    <row r="139" customFormat="false" ht="15" hidden="false" customHeight="false" outlineLevel="0" collapsed="false">
      <c r="A139" s="22" t="n">
        <v>46486</v>
      </c>
      <c r="B139" s="23" t="str">
        <f aca="false">IFERROR(INDEX(Sprint!$A$2:$A$11,MATCH(A139,Sprint!$B$2:$B$11,1)),"")</f>
        <v>S2</v>
      </c>
      <c r="C139" s="6" t="s">
        <v>60</v>
      </c>
      <c r="D139" s="6" t="s">
        <v>184</v>
      </c>
      <c r="E139" s="7" t="n">
        <v>1</v>
      </c>
      <c r="F139" s="6"/>
    </row>
    <row r="140" customFormat="false" ht="15" hidden="false" customHeight="false" outlineLevel="0" collapsed="false">
      <c r="A140" s="22" t="n">
        <v>46486</v>
      </c>
      <c r="B140" s="23" t="str">
        <f aca="false">IFERROR(INDEX(Sprint!$A$2:$A$11,MATCH(A140,Sprint!$B$2:$B$11,1)),"")</f>
        <v>S2</v>
      </c>
      <c r="C140" s="6" t="s">
        <v>52</v>
      </c>
      <c r="D140" s="6" t="s">
        <v>178</v>
      </c>
      <c r="E140" s="7" t="n">
        <v>1</v>
      </c>
      <c r="F140" s="6"/>
    </row>
    <row r="141" customFormat="false" ht="15" hidden="false" customHeight="false" outlineLevel="0" collapsed="false">
      <c r="A141" s="22" t="n">
        <v>46486</v>
      </c>
      <c r="B141" s="23" t="str">
        <f aca="false">IFERROR(INDEX(Sprint!$A$2:$A$11,MATCH(A141,Sprint!$B$2:$B$11,1)),"")</f>
        <v>S2</v>
      </c>
      <c r="C141" s="6" t="s">
        <v>37</v>
      </c>
      <c r="D141" s="6" t="s">
        <v>181</v>
      </c>
      <c r="E141" s="7" t="n">
        <v>0.5</v>
      </c>
      <c r="F141" s="6"/>
    </row>
    <row r="142" customFormat="false" ht="15" hidden="false" customHeight="false" outlineLevel="0" collapsed="false">
      <c r="A142" s="22" t="n">
        <v>46486</v>
      </c>
      <c r="B142" s="23" t="str">
        <f aca="false">IFERROR(INDEX(Sprint!$A$2:$A$11,MATCH(A142,Sprint!$B$2:$B$11,1)),"")</f>
        <v>S2</v>
      </c>
      <c r="C142" s="6" t="s">
        <v>37</v>
      </c>
      <c r="D142" s="6" t="s">
        <v>168</v>
      </c>
      <c r="E142" s="7" t="n">
        <v>0.25</v>
      </c>
      <c r="F142" s="6"/>
    </row>
    <row r="143" customFormat="false" ht="15" hidden="false" customHeight="false" outlineLevel="0" collapsed="false">
      <c r="A143" s="22" t="n">
        <v>46486</v>
      </c>
      <c r="B143" s="23" t="str">
        <f aca="false">IFERROR(INDEX(Sprint!$A$2:$A$11,MATCH(A143,Sprint!$B$2:$B$11,1)),"")</f>
        <v>S2</v>
      </c>
      <c r="C143" s="6" t="s">
        <v>37</v>
      </c>
      <c r="D143" s="6" t="s">
        <v>175</v>
      </c>
      <c r="E143" s="7" t="n">
        <v>0.25</v>
      </c>
      <c r="F143" s="6"/>
    </row>
    <row r="144" customFormat="false" ht="15" hidden="false" customHeight="false" outlineLevel="0" collapsed="false">
      <c r="A144" s="22" t="n">
        <v>46486</v>
      </c>
      <c r="B144" s="23" t="str">
        <f aca="false">IFERROR(INDEX(Sprint!$A$2:$A$11,MATCH(A144,Sprint!$B$2:$B$11,1)),"")</f>
        <v>S2</v>
      </c>
      <c r="C144" s="6" t="s">
        <v>49</v>
      </c>
      <c r="D144" s="6" t="s">
        <v>179</v>
      </c>
      <c r="E144" s="7" t="n">
        <v>1</v>
      </c>
      <c r="F144" s="6"/>
    </row>
    <row r="145" customFormat="false" ht="15" hidden="false" customHeight="false" outlineLevel="0" collapsed="false">
      <c r="A145" s="22" t="n">
        <v>46486</v>
      </c>
      <c r="B145" s="23" t="str">
        <f aca="false">IFERROR(INDEX(Sprint!$A$2:$A$11,MATCH(A145,Sprint!$B$2:$B$11,1)),"")</f>
        <v>S2</v>
      </c>
      <c r="C145" s="6" t="s">
        <v>44</v>
      </c>
      <c r="D145" s="6" t="s">
        <v>182</v>
      </c>
      <c r="E145" s="7" t="n">
        <v>1</v>
      </c>
      <c r="F145" s="6"/>
    </row>
    <row r="146" customFormat="false" ht="15" hidden="false" customHeight="false" outlineLevel="0" collapsed="false">
      <c r="A146" s="22" t="n">
        <v>46486</v>
      </c>
      <c r="B146" s="23" t="str">
        <f aca="false">IFERROR(INDEX(Sprint!$A$2:$A$11,MATCH(A146,Sprint!$B$2:$B$11,1)),"")</f>
        <v>S2</v>
      </c>
      <c r="C146" s="6" t="s">
        <v>47</v>
      </c>
      <c r="D146" s="6" t="s">
        <v>183</v>
      </c>
      <c r="E146" s="7" t="n">
        <v>1</v>
      </c>
      <c r="F146" s="6"/>
    </row>
    <row r="147" customFormat="false" ht="15" hidden="false" customHeight="false" outlineLevel="0" collapsed="false">
      <c r="A147" s="22" t="n">
        <v>46489</v>
      </c>
      <c r="B147" s="23" t="str">
        <f aca="false">IFERROR(INDEX(Sprint!$A$2:$A$11,MATCH(A147,Sprint!$B$2:$B$11,1)),"")</f>
        <v>S2</v>
      </c>
      <c r="C147" s="6" t="s">
        <v>56</v>
      </c>
      <c r="D147" s="6" t="s">
        <v>180</v>
      </c>
      <c r="E147" s="7" t="n">
        <v>1</v>
      </c>
      <c r="F147" s="6"/>
    </row>
    <row r="148" customFormat="false" ht="15" hidden="false" customHeight="false" outlineLevel="0" collapsed="false">
      <c r="A148" s="22" t="n">
        <v>46489</v>
      </c>
      <c r="B148" s="23" t="str">
        <f aca="false">IFERROR(INDEX(Sprint!$A$2:$A$11,MATCH(A148,Sprint!$B$2:$B$11,1)),"")</f>
        <v>S2</v>
      </c>
      <c r="C148" s="6" t="s">
        <v>58</v>
      </c>
      <c r="D148" s="6" t="s">
        <v>184</v>
      </c>
      <c r="E148" s="7" t="n">
        <v>1</v>
      </c>
      <c r="F148" s="6"/>
    </row>
    <row r="149" customFormat="false" ht="15" hidden="false" customHeight="false" outlineLevel="0" collapsed="false">
      <c r="A149" s="22" t="n">
        <v>46489</v>
      </c>
      <c r="B149" s="23" t="str">
        <f aca="false">IFERROR(INDEX(Sprint!$A$2:$A$11,MATCH(A149,Sprint!$B$2:$B$11,1)),"")</f>
        <v>S2</v>
      </c>
      <c r="C149" s="6" t="s">
        <v>60</v>
      </c>
      <c r="D149" s="6" t="s">
        <v>184</v>
      </c>
      <c r="E149" s="7" t="n">
        <v>1</v>
      </c>
      <c r="F149" s="6"/>
    </row>
    <row r="150" customFormat="false" ht="15" hidden="false" customHeight="false" outlineLevel="0" collapsed="false">
      <c r="A150" s="22" t="n">
        <v>46489</v>
      </c>
      <c r="B150" s="23" t="str">
        <f aca="false">IFERROR(INDEX(Sprint!$A$2:$A$11,MATCH(A150,Sprint!$B$2:$B$11,1)),"")</f>
        <v>S2</v>
      </c>
      <c r="C150" s="6" t="s">
        <v>52</v>
      </c>
      <c r="D150" s="6" t="s">
        <v>178</v>
      </c>
      <c r="E150" s="7" t="n">
        <v>1</v>
      </c>
      <c r="F150" s="6"/>
    </row>
    <row r="151" customFormat="false" ht="15" hidden="false" customHeight="false" outlineLevel="0" collapsed="false">
      <c r="A151" s="22" t="n">
        <v>46489</v>
      </c>
      <c r="B151" s="23" t="str">
        <f aca="false">IFERROR(INDEX(Sprint!$A$2:$A$11,MATCH(A151,Sprint!$B$2:$B$11,1)),"")</f>
        <v>S2</v>
      </c>
      <c r="C151" s="6" t="s">
        <v>37</v>
      </c>
      <c r="D151" s="6" t="s">
        <v>181</v>
      </c>
      <c r="E151" s="7" t="n">
        <v>0.25</v>
      </c>
      <c r="F151" s="6"/>
    </row>
    <row r="152" customFormat="false" ht="15" hidden="false" customHeight="false" outlineLevel="0" collapsed="false">
      <c r="A152" s="22" t="n">
        <v>46489</v>
      </c>
      <c r="B152" s="23" t="str">
        <f aca="false">IFERROR(INDEX(Sprint!$A$2:$A$11,MATCH(A152,Sprint!$B$2:$B$11,1)),"")</f>
        <v>S2</v>
      </c>
      <c r="C152" s="6" t="s">
        <v>37</v>
      </c>
      <c r="D152" s="6" t="s">
        <v>185</v>
      </c>
      <c r="E152" s="7" t="n">
        <v>0.75</v>
      </c>
      <c r="F152" s="6"/>
    </row>
    <row r="153" customFormat="false" ht="15" hidden="false" customHeight="false" outlineLevel="0" collapsed="false">
      <c r="A153" s="22" t="n">
        <v>46489</v>
      </c>
      <c r="B153" s="23" t="str">
        <f aca="false">IFERROR(INDEX(Sprint!$A$2:$A$11,MATCH(A153,Sprint!$B$2:$B$11,1)),"")</f>
        <v>S2</v>
      </c>
      <c r="C153" s="6" t="s">
        <v>49</v>
      </c>
      <c r="D153" s="6" t="s">
        <v>179</v>
      </c>
      <c r="E153" s="7" t="n">
        <v>0.75</v>
      </c>
      <c r="F153" s="6"/>
    </row>
    <row r="154" customFormat="false" ht="15" hidden="false" customHeight="false" outlineLevel="0" collapsed="false">
      <c r="A154" s="22" t="n">
        <v>46489</v>
      </c>
      <c r="B154" s="23" t="str">
        <f aca="false">IFERROR(INDEX(Sprint!$A$2:$A$11,MATCH(A154,Sprint!$B$2:$B$11,1)),"")</f>
        <v>S2</v>
      </c>
      <c r="C154" s="6" t="s">
        <v>44</v>
      </c>
      <c r="D154" s="6" t="s">
        <v>182</v>
      </c>
      <c r="E154" s="7" t="n">
        <v>1</v>
      </c>
      <c r="F154" s="6"/>
    </row>
    <row r="155" customFormat="false" ht="15" hidden="false" customHeight="false" outlineLevel="0" collapsed="false">
      <c r="A155" s="22" t="n">
        <v>46489</v>
      </c>
      <c r="B155" s="23" t="str">
        <f aca="false">IFERROR(INDEX(Sprint!$A$2:$A$11,MATCH(A155,Sprint!$B$2:$B$11,1)),"")</f>
        <v>S2</v>
      </c>
      <c r="C155" s="6" t="s">
        <v>47</v>
      </c>
      <c r="D155" s="6" t="s">
        <v>183</v>
      </c>
      <c r="E155" s="7" t="n">
        <v>0.75</v>
      </c>
      <c r="F155" s="6"/>
    </row>
    <row r="156" customFormat="false" ht="15" hidden="false" customHeight="false" outlineLevel="0" collapsed="false">
      <c r="A156" s="22" t="n">
        <v>46490</v>
      </c>
      <c r="B156" s="23" t="str">
        <f aca="false">IFERROR(INDEX(Sprint!$A$2:$A$11,MATCH(A156,Sprint!$B$2:$B$11,1)),"")</f>
        <v>S2</v>
      </c>
      <c r="C156" s="6" t="s">
        <v>56</v>
      </c>
      <c r="D156" s="6" t="s">
        <v>180</v>
      </c>
      <c r="E156" s="7" t="n">
        <v>1</v>
      </c>
      <c r="F156" s="6"/>
    </row>
    <row r="157" customFormat="false" ht="15" hidden="false" customHeight="false" outlineLevel="0" collapsed="false">
      <c r="A157" s="22" t="n">
        <v>46490</v>
      </c>
      <c r="B157" s="23" t="str">
        <f aca="false">IFERROR(INDEX(Sprint!$A$2:$A$11,MATCH(A157,Sprint!$B$2:$B$11,1)),"")</f>
        <v>S2</v>
      </c>
      <c r="C157" s="6" t="s">
        <v>58</v>
      </c>
      <c r="D157" s="6" t="s">
        <v>184</v>
      </c>
      <c r="E157" s="7" t="n">
        <v>1</v>
      </c>
      <c r="F157" s="6"/>
    </row>
    <row r="158" customFormat="false" ht="15" hidden="false" customHeight="false" outlineLevel="0" collapsed="false">
      <c r="A158" s="22" t="n">
        <v>46490</v>
      </c>
      <c r="B158" s="23" t="str">
        <f aca="false">IFERROR(INDEX(Sprint!$A$2:$A$11,MATCH(A158,Sprint!$B$2:$B$11,1)),"")</f>
        <v>S2</v>
      </c>
      <c r="C158" s="6" t="s">
        <v>60</v>
      </c>
      <c r="D158" s="6" t="s">
        <v>184</v>
      </c>
      <c r="E158" s="7" t="n">
        <v>1</v>
      </c>
      <c r="F158" s="6"/>
    </row>
    <row r="159" customFormat="false" ht="15" hidden="false" customHeight="false" outlineLevel="0" collapsed="false">
      <c r="A159" s="22" t="n">
        <v>46490</v>
      </c>
      <c r="B159" s="23" t="str">
        <f aca="false">IFERROR(INDEX(Sprint!$A$2:$A$11,MATCH(A159,Sprint!$B$2:$B$11,1)),"")</f>
        <v>S2</v>
      </c>
      <c r="C159" s="6" t="s">
        <v>52</v>
      </c>
      <c r="D159" s="6" t="s">
        <v>178</v>
      </c>
      <c r="E159" s="7" t="n">
        <v>1</v>
      </c>
      <c r="F159" s="6"/>
    </row>
    <row r="160" customFormat="false" ht="15" hidden="false" customHeight="false" outlineLevel="0" collapsed="false">
      <c r="A160" s="22" t="n">
        <v>46490</v>
      </c>
      <c r="B160" s="23" t="str">
        <f aca="false">IFERROR(INDEX(Sprint!$A$2:$A$11,MATCH(A160,Sprint!$B$2:$B$11,1)),"")</f>
        <v>S2</v>
      </c>
      <c r="C160" s="6" t="s">
        <v>37</v>
      </c>
      <c r="D160" s="6" t="s">
        <v>150</v>
      </c>
      <c r="E160" s="7" t="n">
        <v>0.25</v>
      </c>
      <c r="F160" s="6"/>
    </row>
    <row r="161" customFormat="false" ht="15" hidden="false" customHeight="false" outlineLevel="0" collapsed="false">
      <c r="A161" s="22" t="n">
        <v>46490</v>
      </c>
      <c r="B161" s="23" t="str">
        <f aca="false">IFERROR(INDEX(Sprint!$A$2:$A$11,MATCH(A161,Sprint!$B$2:$B$11,1)),"")</f>
        <v>S2</v>
      </c>
      <c r="C161" s="6" t="s">
        <v>37</v>
      </c>
      <c r="D161" s="6" t="s">
        <v>151</v>
      </c>
      <c r="E161" s="7" t="n">
        <v>0.25</v>
      </c>
      <c r="F161" s="6"/>
    </row>
    <row r="162" customFormat="false" ht="15" hidden="false" customHeight="false" outlineLevel="0" collapsed="false">
      <c r="A162" s="22" t="n">
        <v>46490</v>
      </c>
      <c r="B162" s="23" t="str">
        <f aca="false">IFERROR(INDEX(Sprint!$A$2:$A$11,MATCH(A162,Sprint!$B$2:$B$11,1)),"")</f>
        <v>S2</v>
      </c>
      <c r="C162" s="6" t="s">
        <v>37</v>
      </c>
      <c r="D162" s="6" t="s">
        <v>181</v>
      </c>
      <c r="E162" s="7" t="n">
        <v>0.5</v>
      </c>
      <c r="F162" s="6"/>
    </row>
    <row r="163" customFormat="false" ht="15" hidden="false" customHeight="false" outlineLevel="0" collapsed="false">
      <c r="A163" s="22" t="n">
        <v>46490</v>
      </c>
      <c r="B163" s="23" t="str">
        <f aca="false">IFERROR(INDEX(Sprint!$A$2:$A$11,MATCH(A163,Sprint!$B$2:$B$11,1)),"")</f>
        <v>S2</v>
      </c>
      <c r="C163" s="6" t="s">
        <v>49</v>
      </c>
      <c r="D163" s="6" t="s">
        <v>186</v>
      </c>
      <c r="E163" s="7" t="n">
        <v>1</v>
      </c>
      <c r="F163" s="6"/>
    </row>
    <row r="164" customFormat="false" ht="15" hidden="false" customHeight="false" outlineLevel="0" collapsed="false">
      <c r="A164" s="22" t="n">
        <v>46490</v>
      </c>
      <c r="B164" s="23" t="str">
        <f aca="false">IFERROR(INDEX(Sprint!$A$2:$A$11,MATCH(A164,Sprint!$B$2:$B$11,1)),"")</f>
        <v>S2</v>
      </c>
      <c r="C164" s="6" t="s">
        <v>44</v>
      </c>
      <c r="D164" s="6" t="s">
        <v>182</v>
      </c>
      <c r="E164" s="7" t="n">
        <v>1</v>
      </c>
      <c r="F164" s="6"/>
    </row>
    <row r="165" customFormat="false" ht="15" hidden="false" customHeight="false" outlineLevel="0" collapsed="false">
      <c r="A165" s="22" t="n">
        <v>46491</v>
      </c>
      <c r="B165" s="23" t="str">
        <f aca="false">IFERROR(INDEX(Sprint!$A$2:$A$11,MATCH(A165,Sprint!$B$2:$B$11,1)),"")</f>
        <v>S2</v>
      </c>
      <c r="C165" s="6" t="s">
        <v>58</v>
      </c>
      <c r="D165" s="6" t="s">
        <v>187</v>
      </c>
      <c r="E165" s="7" t="n">
        <v>1</v>
      </c>
      <c r="F165" s="6"/>
    </row>
    <row r="166" customFormat="false" ht="15" hidden="false" customHeight="false" outlineLevel="0" collapsed="false">
      <c r="A166" s="22" t="n">
        <v>46491</v>
      </c>
      <c r="B166" s="23" t="str">
        <f aca="false">IFERROR(INDEX(Sprint!$A$2:$A$11,MATCH(A166,Sprint!$B$2:$B$11,1)),"")</f>
        <v>S2</v>
      </c>
      <c r="C166" s="6" t="s">
        <v>60</v>
      </c>
      <c r="D166" s="6" t="s">
        <v>188</v>
      </c>
      <c r="E166" s="7" t="n">
        <v>1</v>
      </c>
      <c r="F166" s="6"/>
    </row>
    <row r="167" customFormat="false" ht="15" hidden="false" customHeight="false" outlineLevel="0" collapsed="false">
      <c r="A167" s="22" t="n">
        <v>46491</v>
      </c>
      <c r="B167" s="23" t="str">
        <f aca="false">IFERROR(INDEX(Sprint!$A$2:$A$11,MATCH(A167,Sprint!$B$2:$B$11,1)),"")</f>
        <v>S2</v>
      </c>
      <c r="C167" s="6" t="s">
        <v>52</v>
      </c>
      <c r="D167" s="6" t="s">
        <v>189</v>
      </c>
      <c r="E167" s="7" t="n">
        <v>1</v>
      </c>
      <c r="F167" s="6"/>
    </row>
    <row r="168" customFormat="false" ht="15" hidden="false" customHeight="false" outlineLevel="0" collapsed="false">
      <c r="A168" s="22" t="n">
        <v>46491</v>
      </c>
      <c r="B168" s="23" t="str">
        <f aca="false">IFERROR(INDEX(Sprint!$A$2:$A$11,MATCH(A168,Sprint!$B$2:$B$11,1)),"")</f>
        <v>S2</v>
      </c>
      <c r="C168" s="6" t="s">
        <v>37</v>
      </c>
      <c r="D168" s="6" t="s">
        <v>154</v>
      </c>
      <c r="E168" s="7" t="n">
        <v>0.25</v>
      </c>
      <c r="F168" s="6"/>
    </row>
    <row r="169" customFormat="false" ht="15" hidden="false" customHeight="false" outlineLevel="0" collapsed="false">
      <c r="A169" s="22" t="n">
        <v>46491</v>
      </c>
      <c r="B169" s="23" t="str">
        <f aca="false">IFERROR(INDEX(Sprint!$A$2:$A$11,MATCH(A169,Sprint!$B$2:$B$11,1)),"")</f>
        <v>S2</v>
      </c>
      <c r="C169" s="6" t="s">
        <v>37</v>
      </c>
      <c r="D169" s="6" t="s">
        <v>181</v>
      </c>
      <c r="E169" s="7" t="n">
        <v>0.25</v>
      </c>
      <c r="F169" s="6"/>
    </row>
    <row r="170" customFormat="false" ht="15" hidden="false" customHeight="false" outlineLevel="0" collapsed="false">
      <c r="A170" s="22" t="n">
        <v>46491</v>
      </c>
      <c r="B170" s="23" t="str">
        <f aca="false">IFERROR(INDEX(Sprint!$A$2:$A$11,MATCH(A170,Sprint!$B$2:$B$11,1)),"")</f>
        <v>S2</v>
      </c>
      <c r="C170" s="6" t="s">
        <v>37</v>
      </c>
      <c r="D170" s="6" t="s">
        <v>190</v>
      </c>
      <c r="E170" s="7" t="n">
        <v>0.5</v>
      </c>
      <c r="F170" s="6"/>
    </row>
    <row r="171" customFormat="false" ht="15" hidden="false" customHeight="false" outlineLevel="0" collapsed="false">
      <c r="A171" s="22" t="n">
        <v>46491</v>
      </c>
      <c r="B171" s="23" t="str">
        <f aca="false">IFERROR(INDEX(Sprint!$A$2:$A$11,MATCH(A171,Sprint!$B$2:$B$11,1)),"")</f>
        <v>S2</v>
      </c>
      <c r="C171" s="6" t="s">
        <v>49</v>
      </c>
      <c r="D171" s="6" t="s">
        <v>186</v>
      </c>
      <c r="E171" s="7" t="n">
        <v>1</v>
      </c>
      <c r="F171" s="6"/>
    </row>
    <row r="172" customFormat="false" ht="15" hidden="false" customHeight="false" outlineLevel="0" collapsed="false">
      <c r="A172" s="22" t="n">
        <v>46491</v>
      </c>
      <c r="B172" s="23" t="str">
        <f aca="false">IFERROR(INDEX(Sprint!$A$2:$A$11,MATCH(A172,Sprint!$B$2:$B$11,1)),"")</f>
        <v>S2</v>
      </c>
      <c r="C172" s="6" t="s">
        <v>44</v>
      </c>
      <c r="D172" s="6" t="s">
        <v>191</v>
      </c>
      <c r="E172" s="7" t="n">
        <v>1</v>
      </c>
      <c r="F172" s="6"/>
    </row>
    <row r="173" customFormat="false" ht="15" hidden="false" customHeight="false" outlineLevel="0" collapsed="false">
      <c r="A173" s="22" t="n">
        <v>46491</v>
      </c>
      <c r="B173" s="23" t="str">
        <f aca="false">IFERROR(INDEX(Sprint!$A$2:$A$11,MATCH(A173,Sprint!$B$2:$B$11,1)),"")</f>
        <v>S2</v>
      </c>
      <c r="C173" s="6" t="s">
        <v>47</v>
      </c>
      <c r="D173" s="6" t="s">
        <v>192</v>
      </c>
      <c r="E173" s="7" t="n">
        <v>1</v>
      </c>
      <c r="F173" s="6"/>
    </row>
    <row r="174" customFormat="false" ht="15" hidden="false" customHeight="false" outlineLevel="0" collapsed="false">
      <c r="A174" s="22" t="n">
        <v>46492</v>
      </c>
      <c r="B174" s="23" t="str">
        <f aca="false">IFERROR(INDEX(Sprint!$A$2:$A$11,MATCH(A174,Sprint!$B$2:$B$11,1)),"")</f>
        <v>S3</v>
      </c>
      <c r="C174" s="6" t="s">
        <v>58</v>
      </c>
      <c r="D174" s="6" t="s">
        <v>187</v>
      </c>
      <c r="E174" s="7" t="n">
        <v>1</v>
      </c>
      <c r="F174" s="6"/>
    </row>
    <row r="175" customFormat="false" ht="15" hidden="false" customHeight="false" outlineLevel="0" collapsed="false">
      <c r="A175" s="22" t="n">
        <v>46492</v>
      </c>
      <c r="B175" s="23" t="str">
        <f aca="false">IFERROR(INDEX(Sprint!$A$2:$A$11,MATCH(A175,Sprint!$B$2:$B$11,1)),"")</f>
        <v>S3</v>
      </c>
      <c r="C175" s="6" t="s">
        <v>60</v>
      </c>
      <c r="D175" s="6" t="s">
        <v>188</v>
      </c>
      <c r="E175" s="7" t="n">
        <v>1</v>
      </c>
      <c r="F175" s="6"/>
    </row>
    <row r="176" customFormat="false" ht="15" hidden="false" customHeight="false" outlineLevel="0" collapsed="false">
      <c r="A176" s="22" t="n">
        <v>46492</v>
      </c>
      <c r="B176" s="23" t="str">
        <f aca="false">IFERROR(INDEX(Sprint!$A$2:$A$11,MATCH(A176,Sprint!$B$2:$B$11,1)),"")</f>
        <v>S3</v>
      </c>
      <c r="C176" s="6" t="s">
        <v>67</v>
      </c>
      <c r="D176" s="6" t="s">
        <v>193</v>
      </c>
      <c r="E176" s="7" t="n">
        <v>1</v>
      </c>
      <c r="F176" s="6"/>
    </row>
    <row r="177" customFormat="false" ht="15" hidden="false" customHeight="false" outlineLevel="0" collapsed="false">
      <c r="A177" s="22" t="n">
        <v>46492</v>
      </c>
      <c r="B177" s="23" t="str">
        <f aca="false">IFERROR(INDEX(Sprint!$A$2:$A$11,MATCH(A177,Sprint!$B$2:$B$11,1)),"")</f>
        <v>S3</v>
      </c>
      <c r="C177" s="6" t="s">
        <v>52</v>
      </c>
      <c r="D177" s="6" t="s">
        <v>189</v>
      </c>
      <c r="E177" s="7" t="n">
        <v>1</v>
      </c>
      <c r="F177" s="6"/>
    </row>
    <row r="178" customFormat="false" ht="15" hidden="false" customHeight="false" outlineLevel="0" collapsed="false">
      <c r="A178" s="22" t="n">
        <v>46492</v>
      </c>
      <c r="B178" s="23" t="str">
        <f aca="false">IFERROR(INDEX(Sprint!$A$2:$A$11,MATCH(A178,Sprint!$B$2:$B$11,1)),"")</f>
        <v>S3</v>
      </c>
      <c r="C178" s="6" t="s">
        <v>37</v>
      </c>
      <c r="D178" s="6" t="s">
        <v>155</v>
      </c>
      <c r="E178" s="7" t="n">
        <v>0.25</v>
      </c>
      <c r="F178" s="6"/>
    </row>
    <row r="179" customFormat="false" ht="15" hidden="false" customHeight="false" outlineLevel="0" collapsed="false">
      <c r="A179" s="22" t="n">
        <v>46492</v>
      </c>
      <c r="B179" s="23" t="str">
        <f aca="false">IFERROR(INDEX(Sprint!$A$2:$A$11,MATCH(A179,Sprint!$B$2:$B$11,1)),"")</f>
        <v>S3</v>
      </c>
      <c r="C179" s="6" t="s">
        <v>37</v>
      </c>
      <c r="D179" s="6" t="s">
        <v>156</v>
      </c>
      <c r="E179" s="7" t="n">
        <v>0.25</v>
      </c>
      <c r="F179" s="6"/>
    </row>
    <row r="180" customFormat="false" ht="15" hidden="false" customHeight="false" outlineLevel="0" collapsed="false">
      <c r="A180" s="22" t="n">
        <v>46492</v>
      </c>
      <c r="B180" s="23" t="str">
        <f aca="false">IFERROR(INDEX(Sprint!$A$2:$A$11,MATCH(A180,Sprint!$B$2:$B$11,1)),"")</f>
        <v>S3</v>
      </c>
      <c r="C180" s="6" t="s">
        <v>37</v>
      </c>
      <c r="D180" s="6" t="s">
        <v>157</v>
      </c>
      <c r="E180" s="7" t="n">
        <v>0.25</v>
      </c>
      <c r="F180" s="6"/>
    </row>
    <row r="181" customFormat="false" ht="15" hidden="false" customHeight="false" outlineLevel="0" collapsed="false">
      <c r="A181" s="22" t="n">
        <v>46492</v>
      </c>
      <c r="B181" s="23" t="str">
        <f aca="false">IFERROR(INDEX(Sprint!$A$2:$A$11,MATCH(A181,Sprint!$B$2:$B$11,1)),"")</f>
        <v>S3</v>
      </c>
      <c r="C181" s="6" t="s">
        <v>37</v>
      </c>
      <c r="D181" s="6" t="s">
        <v>159</v>
      </c>
      <c r="E181" s="7" t="n">
        <v>0.25</v>
      </c>
      <c r="F181" s="6"/>
    </row>
    <row r="182" customFormat="false" ht="15" hidden="false" customHeight="false" outlineLevel="0" collapsed="false">
      <c r="A182" s="22" t="n">
        <v>46492</v>
      </c>
      <c r="B182" s="23" t="str">
        <f aca="false">IFERROR(INDEX(Sprint!$A$2:$A$11,MATCH(A182,Sprint!$B$2:$B$11,1)),"")</f>
        <v>S3</v>
      </c>
      <c r="C182" s="6" t="s">
        <v>49</v>
      </c>
      <c r="D182" s="6" t="s">
        <v>186</v>
      </c>
      <c r="E182" s="7" t="n">
        <v>1</v>
      </c>
      <c r="F182" s="6"/>
    </row>
    <row r="183" customFormat="false" ht="15" hidden="false" customHeight="false" outlineLevel="0" collapsed="false">
      <c r="A183" s="22" t="n">
        <v>46492</v>
      </c>
      <c r="B183" s="23" t="str">
        <f aca="false">IFERROR(INDEX(Sprint!$A$2:$A$11,MATCH(A183,Sprint!$B$2:$B$11,1)),"")</f>
        <v>S3</v>
      </c>
      <c r="C183" s="6" t="s">
        <v>44</v>
      </c>
      <c r="D183" s="6" t="s">
        <v>191</v>
      </c>
      <c r="E183" s="7" t="n">
        <v>1</v>
      </c>
      <c r="F183" s="6"/>
    </row>
    <row r="184" customFormat="false" ht="15" hidden="false" customHeight="false" outlineLevel="0" collapsed="false">
      <c r="A184" s="22" t="n">
        <v>46492</v>
      </c>
      <c r="B184" s="23" t="str">
        <f aca="false">IFERROR(INDEX(Sprint!$A$2:$A$11,MATCH(A184,Sprint!$B$2:$B$11,1)),"")</f>
        <v>S3</v>
      </c>
      <c r="C184" s="6" t="s">
        <v>47</v>
      </c>
      <c r="D184" s="6" t="s">
        <v>192</v>
      </c>
      <c r="E184" s="7" t="n">
        <v>1</v>
      </c>
      <c r="F184" s="6"/>
    </row>
    <row r="185" customFormat="false" ht="15" hidden="false" customHeight="false" outlineLevel="0" collapsed="false">
      <c r="A185" s="22" t="n">
        <v>46496</v>
      </c>
      <c r="B185" s="23" t="str">
        <f aca="false">IFERROR(INDEX(Sprint!$A$2:$A$11,MATCH(A185,Sprint!$B$2:$B$11,1)),"")</f>
        <v>S3</v>
      </c>
      <c r="C185" s="6" t="s">
        <v>58</v>
      </c>
      <c r="D185" s="6" t="s">
        <v>187</v>
      </c>
      <c r="E185" s="7" t="n">
        <v>1</v>
      </c>
      <c r="F185" s="6"/>
    </row>
    <row r="186" customFormat="false" ht="15" hidden="false" customHeight="false" outlineLevel="0" collapsed="false">
      <c r="A186" s="22" t="n">
        <v>46496</v>
      </c>
      <c r="B186" s="23" t="str">
        <f aca="false">IFERROR(INDEX(Sprint!$A$2:$A$11,MATCH(A186,Sprint!$B$2:$B$11,1)),"")</f>
        <v>S3</v>
      </c>
      <c r="C186" s="6" t="s">
        <v>60</v>
      </c>
      <c r="D186" s="6" t="s">
        <v>188</v>
      </c>
      <c r="E186" s="7" t="n">
        <v>1</v>
      </c>
      <c r="F186" s="6"/>
    </row>
    <row r="187" customFormat="false" ht="15" hidden="false" customHeight="false" outlineLevel="0" collapsed="false">
      <c r="A187" s="22" t="n">
        <v>46496</v>
      </c>
      <c r="B187" s="23" t="str">
        <f aca="false">IFERROR(INDEX(Sprint!$A$2:$A$11,MATCH(A187,Sprint!$B$2:$B$11,1)),"")</f>
        <v>S3</v>
      </c>
      <c r="C187" s="6" t="s">
        <v>67</v>
      </c>
      <c r="D187" s="6" t="s">
        <v>193</v>
      </c>
      <c r="E187" s="7" t="n">
        <v>1</v>
      </c>
      <c r="F187" s="6"/>
    </row>
    <row r="188" customFormat="false" ht="15" hidden="false" customHeight="false" outlineLevel="0" collapsed="false">
      <c r="A188" s="22" t="n">
        <v>46496</v>
      </c>
      <c r="B188" s="23" t="str">
        <f aca="false">IFERROR(INDEX(Sprint!$A$2:$A$11,MATCH(A188,Sprint!$B$2:$B$11,1)),"")</f>
        <v>S3</v>
      </c>
      <c r="C188" s="6" t="s">
        <v>52</v>
      </c>
      <c r="D188" s="6" t="s">
        <v>189</v>
      </c>
      <c r="E188" s="7" t="n">
        <v>1</v>
      </c>
      <c r="F188" s="6"/>
    </row>
    <row r="189" customFormat="false" ht="15" hidden="false" customHeight="false" outlineLevel="0" collapsed="false">
      <c r="A189" s="22" t="n">
        <v>46496</v>
      </c>
      <c r="B189" s="23" t="str">
        <f aca="false">IFERROR(INDEX(Sprint!$A$2:$A$11,MATCH(A189,Sprint!$B$2:$B$11,1)),"")</f>
        <v>S3</v>
      </c>
      <c r="C189" s="6" t="s">
        <v>37</v>
      </c>
      <c r="D189" s="6" t="s">
        <v>158</v>
      </c>
      <c r="E189" s="7" t="n">
        <v>0.25</v>
      </c>
      <c r="F189" s="6"/>
    </row>
    <row r="190" customFormat="false" ht="15" hidden="false" customHeight="false" outlineLevel="0" collapsed="false">
      <c r="A190" s="22" t="n">
        <v>46496</v>
      </c>
      <c r="B190" s="23" t="str">
        <f aca="false">IFERROR(INDEX(Sprint!$A$2:$A$11,MATCH(A190,Sprint!$B$2:$B$11,1)),"")</f>
        <v>S3</v>
      </c>
      <c r="C190" s="6" t="s">
        <v>37</v>
      </c>
      <c r="D190" s="6" t="s">
        <v>165</v>
      </c>
      <c r="E190" s="7" t="n">
        <v>0.25</v>
      </c>
      <c r="F190" s="6"/>
    </row>
    <row r="191" customFormat="false" ht="15" hidden="false" customHeight="false" outlineLevel="0" collapsed="false">
      <c r="A191" s="22" t="n">
        <v>46496</v>
      </c>
      <c r="B191" s="23" t="str">
        <f aca="false">IFERROR(INDEX(Sprint!$A$2:$A$11,MATCH(A191,Sprint!$B$2:$B$11,1)),"")</f>
        <v>S3</v>
      </c>
      <c r="C191" s="6" t="s">
        <v>37</v>
      </c>
      <c r="D191" s="6" t="s">
        <v>168</v>
      </c>
      <c r="E191" s="7" t="n">
        <v>0.25</v>
      </c>
      <c r="F191" s="6"/>
    </row>
    <row r="192" customFormat="false" ht="15" hidden="false" customHeight="false" outlineLevel="0" collapsed="false">
      <c r="A192" s="22" t="n">
        <v>46496</v>
      </c>
      <c r="B192" s="23" t="str">
        <f aca="false">IFERROR(INDEX(Sprint!$A$2:$A$11,MATCH(A192,Sprint!$B$2:$B$11,1)),"")</f>
        <v>S3</v>
      </c>
      <c r="C192" s="6" t="s">
        <v>37</v>
      </c>
      <c r="D192" s="6" t="s">
        <v>175</v>
      </c>
      <c r="E192" s="7" t="n">
        <v>0.25</v>
      </c>
      <c r="F192" s="6"/>
    </row>
    <row r="193" customFormat="false" ht="15" hidden="false" customHeight="false" outlineLevel="0" collapsed="false">
      <c r="A193" s="22" t="n">
        <v>46496</v>
      </c>
      <c r="B193" s="23" t="str">
        <f aca="false">IFERROR(INDEX(Sprint!$A$2:$A$11,MATCH(A193,Sprint!$B$2:$B$11,1)),"")</f>
        <v>S3</v>
      </c>
      <c r="C193" s="6" t="s">
        <v>49</v>
      </c>
      <c r="D193" s="6" t="s">
        <v>194</v>
      </c>
      <c r="E193" s="7" t="n">
        <v>1</v>
      </c>
      <c r="F193" s="6"/>
    </row>
    <row r="194" customFormat="false" ht="15" hidden="false" customHeight="false" outlineLevel="0" collapsed="false">
      <c r="A194" s="22" t="n">
        <v>46496</v>
      </c>
      <c r="B194" s="23" t="str">
        <f aca="false">IFERROR(INDEX(Sprint!$A$2:$A$11,MATCH(A194,Sprint!$B$2:$B$11,1)),"")</f>
        <v>S3</v>
      </c>
      <c r="C194" s="6" t="s">
        <v>44</v>
      </c>
      <c r="D194" s="6" t="s">
        <v>191</v>
      </c>
      <c r="E194" s="7" t="n">
        <v>1</v>
      </c>
      <c r="F194" s="6"/>
    </row>
    <row r="195" customFormat="false" ht="15" hidden="false" customHeight="false" outlineLevel="0" collapsed="false">
      <c r="A195" s="22" t="n">
        <v>46496</v>
      </c>
      <c r="B195" s="23" t="str">
        <f aca="false">IFERROR(INDEX(Sprint!$A$2:$A$11,MATCH(A195,Sprint!$B$2:$B$11,1)),"")</f>
        <v>S3</v>
      </c>
      <c r="C195" s="6" t="s">
        <v>47</v>
      </c>
      <c r="D195" s="6" t="s">
        <v>192</v>
      </c>
      <c r="E195" s="7" t="n">
        <v>1</v>
      </c>
      <c r="F195" s="6"/>
    </row>
    <row r="196" customFormat="false" ht="15" hidden="false" customHeight="false" outlineLevel="0" collapsed="false">
      <c r="A196" s="22" t="n">
        <v>46497</v>
      </c>
      <c r="B196" s="23" t="str">
        <f aca="false">IFERROR(INDEX(Sprint!$A$2:$A$11,MATCH(A196,Sprint!$B$2:$B$11,1)),"")</f>
        <v>S3</v>
      </c>
      <c r="C196" s="6" t="s">
        <v>58</v>
      </c>
      <c r="D196" s="6" t="s">
        <v>187</v>
      </c>
      <c r="E196" s="7" t="n">
        <v>1</v>
      </c>
      <c r="F196" s="6"/>
    </row>
    <row r="197" customFormat="false" ht="15" hidden="false" customHeight="false" outlineLevel="0" collapsed="false">
      <c r="A197" s="22" t="n">
        <v>46497</v>
      </c>
      <c r="B197" s="23" t="str">
        <f aca="false">IFERROR(INDEX(Sprint!$A$2:$A$11,MATCH(A197,Sprint!$B$2:$B$11,1)),"")</f>
        <v>S3</v>
      </c>
      <c r="C197" s="6" t="s">
        <v>60</v>
      </c>
      <c r="D197" s="6" t="s">
        <v>188</v>
      </c>
      <c r="E197" s="7" t="n">
        <v>1</v>
      </c>
      <c r="F197" s="6"/>
    </row>
    <row r="198" customFormat="false" ht="15" hidden="false" customHeight="false" outlineLevel="0" collapsed="false">
      <c r="A198" s="22" t="n">
        <v>46497</v>
      </c>
      <c r="B198" s="23" t="str">
        <f aca="false">IFERROR(INDEX(Sprint!$A$2:$A$11,MATCH(A198,Sprint!$B$2:$B$11,1)),"")</f>
        <v>S3</v>
      </c>
      <c r="C198" s="6" t="s">
        <v>67</v>
      </c>
      <c r="D198" s="6" t="s">
        <v>193</v>
      </c>
      <c r="E198" s="7" t="n">
        <v>1</v>
      </c>
      <c r="F198" s="6"/>
    </row>
    <row r="199" customFormat="false" ht="15" hidden="false" customHeight="false" outlineLevel="0" collapsed="false">
      <c r="A199" s="22" t="n">
        <v>46497</v>
      </c>
      <c r="B199" s="23" t="str">
        <f aca="false">IFERROR(INDEX(Sprint!$A$2:$A$11,MATCH(A199,Sprint!$B$2:$B$11,1)),"")</f>
        <v>S3</v>
      </c>
      <c r="C199" s="6" t="s">
        <v>52</v>
      </c>
      <c r="D199" s="6" t="s">
        <v>189</v>
      </c>
      <c r="E199" s="7" t="n">
        <v>1</v>
      </c>
      <c r="F199" s="6"/>
    </row>
    <row r="200" customFormat="false" ht="15" hidden="false" customHeight="false" outlineLevel="0" collapsed="false">
      <c r="A200" s="22" t="n">
        <v>46497</v>
      </c>
      <c r="B200" s="23" t="str">
        <f aca="false">IFERROR(INDEX(Sprint!$A$2:$A$11,MATCH(A200,Sprint!$B$2:$B$11,1)),"")</f>
        <v>S3</v>
      </c>
      <c r="C200" s="6" t="s">
        <v>37</v>
      </c>
      <c r="D200" s="6" t="s">
        <v>150</v>
      </c>
      <c r="E200" s="7" t="n">
        <v>0.25</v>
      </c>
      <c r="F200" s="6"/>
    </row>
    <row r="201" customFormat="false" ht="15" hidden="false" customHeight="false" outlineLevel="0" collapsed="false">
      <c r="A201" s="22" t="n">
        <v>46497</v>
      </c>
      <c r="B201" s="23" t="str">
        <f aca="false">IFERROR(INDEX(Sprint!$A$2:$A$11,MATCH(A201,Sprint!$B$2:$B$11,1)),"")</f>
        <v>S3</v>
      </c>
      <c r="C201" s="6" t="s">
        <v>37</v>
      </c>
      <c r="D201" s="6" t="s">
        <v>155</v>
      </c>
      <c r="E201" s="7" t="n">
        <v>0.25</v>
      </c>
      <c r="F201" s="6"/>
    </row>
    <row r="202" customFormat="false" ht="15" hidden="false" customHeight="false" outlineLevel="0" collapsed="false">
      <c r="A202" s="22" t="n">
        <v>46497</v>
      </c>
      <c r="B202" s="23" t="str">
        <f aca="false">IFERROR(INDEX(Sprint!$A$2:$A$11,MATCH(A202,Sprint!$B$2:$B$11,1)),"")</f>
        <v>S3</v>
      </c>
      <c r="C202" s="6" t="s">
        <v>37</v>
      </c>
      <c r="D202" s="6" t="s">
        <v>190</v>
      </c>
      <c r="E202" s="7" t="n">
        <v>0.5</v>
      </c>
      <c r="F202" s="6"/>
    </row>
    <row r="203" customFormat="false" ht="15" hidden="false" customHeight="false" outlineLevel="0" collapsed="false">
      <c r="A203" s="22" t="n">
        <v>46497</v>
      </c>
      <c r="B203" s="23" t="str">
        <f aca="false">IFERROR(INDEX(Sprint!$A$2:$A$11,MATCH(A203,Sprint!$B$2:$B$11,1)),"")</f>
        <v>S3</v>
      </c>
      <c r="C203" s="6" t="s">
        <v>49</v>
      </c>
      <c r="D203" s="6" t="s">
        <v>194</v>
      </c>
      <c r="E203" s="7" t="n">
        <v>1</v>
      </c>
      <c r="F203" s="6"/>
    </row>
    <row r="204" customFormat="false" ht="15" hidden="false" customHeight="false" outlineLevel="0" collapsed="false">
      <c r="A204" s="22" t="n">
        <v>46497</v>
      </c>
      <c r="B204" s="23" t="str">
        <f aca="false">IFERROR(INDEX(Sprint!$A$2:$A$11,MATCH(A204,Sprint!$B$2:$B$11,1)),"")</f>
        <v>S3</v>
      </c>
      <c r="C204" s="6" t="s">
        <v>44</v>
      </c>
      <c r="D204" s="6" t="s">
        <v>191</v>
      </c>
      <c r="E204" s="7" t="n">
        <v>1</v>
      </c>
      <c r="F204" s="6"/>
    </row>
    <row r="205" customFormat="false" ht="15" hidden="false" customHeight="false" outlineLevel="0" collapsed="false">
      <c r="A205" s="22" t="n">
        <v>46497</v>
      </c>
      <c r="B205" s="23" t="str">
        <f aca="false">IFERROR(INDEX(Sprint!$A$2:$A$11,MATCH(A205,Sprint!$B$2:$B$11,1)),"")</f>
        <v>S3</v>
      </c>
      <c r="C205" s="6" t="s">
        <v>47</v>
      </c>
      <c r="D205" s="6" t="s">
        <v>192</v>
      </c>
      <c r="E205" s="7" t="n">
        <v>1</v>
      </c>
      <c r="F205" s="6"/>
    </row>
    <row r="206" customFormat="false" ht="15" hidden="false" customHeight="false" outlineLevel="0" collapsed="false">
      <c r="A206" s="22" t="n">
        <v>46498</v>
      </c>
      <c r="B206" s="23" t="str">
        <f aca="false">IFERROR(INDEX(Sprint!$A$2:$A$11,MATCH(A206,Sprint!$B$2:$B$11,1)),"")</f>
        <v>S3</v>
      </c>
      <c r="C206" s="6" t="s">
        <v>58</v>
      </c>
      <c r="D206" s="6" t="s">
        <v>187</v>
      </c>
      <c r="E206" s="7" t="n">
        <v>1</v>
      </c>
      <c r="F206" s="6"/>
    </row>
    <row r="207" customFormat="false" ht="15" hidden="false" customHeight="false" outlineLevel="0" collapsed="false">
      <c r="A207" s="22" t="n">
        <v>46498</v>
      </c>
      <c r="B207" s="23" t="str">
        <f aca="false">IFERROR(INDEX(Sprint!$A$2:$A$11,MATCH(A207,Sprint!$B$2:$B$11,1)),"")</f>
        <v>S3</v>
      </c>
      <c r="C207" s="6" t="s">
        <v>60</v>
      </c>
      <c r="D207" s="6" t="s">
        <v>188</v>
      </c>
      <c r="E207" s="7" t="n">
        <v>1</v>
      </c>
      <c r="F207" s="6"/>
    </row>
    <row r="208" customFormat="false" ht="15" hidden="false" customHeight="false" outlineLevel="0" collapsed="false">
      <c r="A208" s="22" t="n">
        <v>46498</v>
      </c>
      <c r="B208" s="23" t="str">
        <f aca="false">IFERROR(INDEX(Sprint!$A$2:$A$11,MATCH(A208,Sprint!$B$2:$B$11,1)),"")</f>
        <v>S3</v>
      </c>
      <c r="C208" s="6" t="s">
        <v>67</v>
      </c>
      <c r="D208" s="6" t="s">
        <v>193</v>
      </c>
      <c r="E208" s="7" t="n">
        <v>1</v>
      </c>
      <c r="F208" s="6"/>
    </row>
    <row r="209" customFormat="false" ht="15" hidden="false" customHeight="false" outlineLevel="0" collapsed="false">
      <c r="A209" s="22" t="n">
        <v>46498</v>
      </c>
      <c r="B209" s="23" t="str">
        <f aca="false">IFERROR(INDEX(Sprint!$A$2:$A$11,MATCH(A209,Sprint!$B$2:$B$11,1)),"")</f>
        <v>S3</v>
      </c>
      <c r="C209" s="6" t="s">
        <v>52</v>
      </c>
      <c r="D209" s="6" t="s">
        <v>195</v>
      </c>
      <c r="E209" s="7" t="n">
        <v>1</v>
      </c>
      <c r="F209" s="6"/>
    </row>
    <row r="210" customFormat="false" ht="15" hidden="false" customHeight="false" outlineLevel="0" collapsed="false">
      <c r="A210" s="22" t="n">
        <v>46498</v>
      </c>
      <c r="B210" s="23" t="str">
        <f aca="false">IFERROR(INDEX(Sprint!$A$2:$A$11,MATCH(A210,Sprint!$B$2:$B$11,1)),"")</f>
        <v>S3</v>
      </c>
      <c r="C210" s="6" t="s">
        <v>62</v>
      </c>
      <c r="D210" s="6" t="s">
        <v>196</v>
      </c>
      <c r="E210" s="7" t="n">
        <v>1</v>
      </c>
      <c r="F210" s="6"/>
    </row>
    <row r="211" customFormat="false" ht="15" hidden="false" customHeight="false" outlineLevel="0" collapsed="false">
      <c r="A211" s="22" t="n">
        <v>46498</v>
      </c>
      <c r="B211" s="23" t="str">
        <f aca="false">IFERROR(INDEX(Sprint!$A$2:$A$11,MATCH(A211,Sprint!$B$2:$B$11,1)),"")</f>
        <v>S3</v>
      </c>
      <c r="C211" s="6" t="s">
        <v>37</v>
      </c>
      <c r="D211" s="6" t="s">
        <v>185</v>
      </c>
      <c r="E211" s="7" t="n">
        <v>0.5</v>
      </c>
      <c r="F211" s="6"/>
    </row>
    <row r="212" customFormat="false" ht="15" hidden="false" customHeight="false" outlineLevel="0" collapsed="false">
      <c r="A212" s="22" t="n">
        <v>46498</v>
      </c>
      <c r="B212" s="23" t="str">
        <f aca="false">IFERROR(INDEX(Sprint!$A$2:$A$11,MATCH(A212,Sprint!$B$2:$B$11,1)),"")</f>
        <v>S3</v>
      </c>
      <c r="C212" s="6" t="s">
        <v>37</v>
      </c>
      <c r="D212" s="6" t="s">
        <v>190</v>
      </c>
      <c r="E212" s="7" t="n">
        <v>0.5</v>
      </c>
      <c r="F212" s="6"/>
    </row>
    <row r="213" customFormat="false" ht="15" hidden="false" customHeight="false" outlineLevel="0" collapsed="false">
      <c r="A213" s="22" t="n">
        <v>46498</v>
      </c>
      <c r="B213" s="23" t="str">
        <f aca="false">IFERROR(INDEX(Sprint!$A$2:$A$11,MATCH(A213,Sprint!$B$2:$B$11,1)),"")</f>
        <v>S3</v>
      </c>
      <c r="C213" s="6" t="s">
        <v>49</v>
      </c>
      <c r="D213" s="6" t="s">
        <v>194</v>
      </c>
      <c r="E213" s="7" t="n">
        <v>1</v>
      </c>
      <c r="F213" s="6"/>
    </row>
    <row r="214" customFormat="false" ht="15" hidden="false" customHeight="false" outlineLevel="0" collapsed="false">
      <c r="A214" s="22" t="n">
        <v>46498</v>
      </c>
      <c r="B214" s="23" t="str">
        <f aca="false">IFERROR(INDEX(Sprint!$A$2:$A$11,MATCH(A214,Sprint!$B$2:$B$11,1)),"")</f>
        <v>S3</v>
      </c>
      <c r="C214" s="6" t="s">
        <v>44</v>
      </c>
      <c r="D214" s="6" t="s">
        <v>191</v>
      </c>
      <c r="E214" s="7" t="n">
        <v>1</v>
      </c>
      <c r="F214" s="6"/>
    </row>
    <row r="215" customFormat="false" ht="15" hidden="false" customHeight="false" outlineLevel="0" collapsed="false">
      <c r="A215" s="22" t="n">
        <v>46498</v>
      </c>
      <c r="B215" s="23" t="str">
        <f aca="false">IFERROR(INDEX(Sprint!$A$2:$A$11,MATCH(A215,Sprint!$B$2:$B$11,1)),"")</f>
        <v>S3</v>
      </c>
      <c r="C215" s="6" t="s">
        <v>47</v>
      </c>
      <c r="D215" s="6" t="s">
        <v>192</v>
      </c>
      <c r="E215" s="7" t="n">
        <v>1</v>
      </c>
      <c r="F215" s="6"/>
    </row>
    <row r="216" customFormat="false" ht="15" hidden="false" customHeight="false" outlineLevel="0" collapsed="false">
      <c r="A216" s="22" t="n">
        <v>46498</v>
      </c>
      <c r="B216" s="23" t="str">
        <f aca="false">IFERROR(INDEX(Sprint!$A$2:$A$11,MATCH(A216,Sprint!$B$2:$B$11,1)),"")</f>
        <v>S3</v>
      </c>
      <c r="C216" s="6" t="s">
        <v>41</v>
      </c>
      <c r="D216" s="6" t="s">
        <v>197</v>
      </c>
      <c r="E216" s="7" t="n">
        <v>1</v>
      </c>
      <c r="F216" s="6"/>
    </row>
    <row r="217" customFormat="false" ht="15" hidden="false" customHeight="false" outlineLevel="0" collapsed="false">
      <c r="A217" s="22" t="n">
        <v>46499</v>
      </c>
      <c r="B217" s="23" t="str">
        <f aca="false">IFERROR(INDEX(Sprint!$A$2:$A$11,MATCH(A217,Sprint!$B$2:$B$11,1)),"")</f>
        <v>S3</v>
      </c>
      <c r="C217" s="6" t="s">
        <v>56</v>
      </c>
      <c r="D217" s="6" t="s">
        <v>198</v>
      </c>
      <c r="E217" s="7" t="n">
        <v>1</v>
      </c>
      <c r="F217" s="6"/>
    </row>
    <row r="218" customFormat="false" ht="15" hidden="false" customHeight="false" outlineLevel="0" collapsed="false">
      <c r="A218" s="22" t="n">
        <v>46499</v>
      </c>
      <c r="B218" s="23" t="str">
        <f aca="false">IFERROR(INDEX(Sprint!$A$2:$A$11,MATCH(A218,Sprint!$B$2:$B$11,1)),"")</f>
        <v>S3</v>
      </c>
      <c r="C218" s="6" t="s">
        <v>58</v>
      </c>
      <c r="D218" s="6" t="s">
        <v>199</v>
      </c>
      <c r="E218" s="7" t="n">
        <v>1</v>
      </c>
      <c r="F218" s="6"/>
    </row>
    <row r="219" customFormat="false" ht="15" hidden="false" customHeight="false" outlineLevel="0" collapsed="false">
      <c r="A219" s="22" t="n">
        <v>46499</v>
      </c>
      <c r="B219" s="23" t="str">
        <f aca="false">IFERROR(INDEX(Sprint!$A$2:$A$11,MATCH(A219,Sprint!$B$2:$B$11,1)),"")</f>
        <v>S3</v>
      </c>
      <c r="C219" s="6" t="s">
        <v>60</v>
      </c>
      <c r="D219" s="6" t="s">
        <v>188</v>
      </c>
      <c r="E219" s="7" t="n">
        <v>0.25</v>
      </c>
      <c r="F219" s="6"/>
    </row>
    <row r="220" customFormat="false" ht="15" hidden="false" customHeight="false" outlineLevel="0" collapsed="false">
      <c r="A220" s="22" t="n">
        <v>46499</v>
      </c>
      <c r="B220" s="23" t="str">
        <f aca="false">IFERROR(INDEX(Sprint!$A$2:$A$11,MATCH(A220,Sprint!$B$2:$B$11,1)),"")</f>
        <v>S3</v>
      </c>
      <c r="C220" s="6" t="s">
        <v>60</v>
      </c>
      <c r="D220" s="6" t="s">
        <v>200</v>
      </c>
      <c r="E220" s="7" t="n">
        <v>0.75</v>
      </c>
      <c r="F220" s="6"/>
    </row>
    <row r="221" customFormat="false" ht="15" hidden="false" customHeight="false" outlineLevel="0" collapsed="false">
      <c r="A221" s="22" t="n">
        <v>46499</v>
      </c>
      <c r="B221" s="23" t="str">
        <f aca="false">IFERROR(INDEX(Sprint!$A$2:$A$11,MATCH(A221,Sprint!$B$2:$B$11,1)),"")</f>
        <v>S3</v>
      </c>
      <c r="C221" s="6" t="s">
        <v>67</v>
      </c>
      <c r="D221" s="6" t="s">
        <v>193</v>
      </c>
      <c r="E221" s="7" t="n">
        <v>1</v>
      </c>
      <c r="F221" s="6"/>
    </row>
    <row r="222" customFormat="false" ht="15" hidden="false" customHeight="false" outlineLevel="0" collapsed="false">
      <c r="A222" s="22" t="n">
        <v>46499</v>
      </c>
      <c r="B222" s="23" t="str">
        <f aca="false">IFERROR(INDEX(Sprint!$A$2:$A$11,MATCH(A222,Sprint!$B$2:$B$11,1)),"")</f>
        <v>S3</v>
      </c>
      <c r="C222" s="6" t="s">
        <v>52</v>
      </c>
      <c r="D222" s="6" t="s">
        <v>195</v>
      </c>
      <c r="E222" s="7" t="n">
        <v>1</v>
      </c>
      <c r="F222" s="6"/>
    </row>
    <row r="223" customFormat="false" ht="15" hidden="false" customHeight="false" outlineLevel="0" collapsed="false">
      <c r="A223" s="22" t="n">
        <v>46499</v>
      </c>
      <c r="B223" s="23" t="str">
        <f aca="false">IFERROR(INDEX(Sprint!$A$2:$A$11,MATCH(A223,Sprint!$B$2:$B$11,1)),"")</f>
        <v>S3</v>
      </c>
      <c r="C223" s="6" t="s">
        <v>62</v>
      </c>
      <c r="D223" s="6" t="s">
        <v>196</v>
      </c>
      <c r="E223" s="7" t="n">
        <v>1</v>
      </c>
      <c r="F223" s="6"/>
    </row>
    <row r="224" customFormat="false" ht="15" hidden="false" customHeight="false" outlineLevel="0" collapsed="false">
      <c r="A224" s="22" t="n">
        <v>46499</v>
      </c>
      <c r="B224" s="23" t="str">
        <f aca="false">IFERROR(INDEX(Sprint!$A$2:$A$11,MATCH(A224,Sprint!$B$2:$B$11,1)),"")</f>
        <v>S3</v>
      </c>
      <c r="C224" s="6" t="s">
        <v>37</v>
      </c>
      <c r="D224" s="6" t="s">
        <v>151</v>
      </c>
      <c r="E224" s="7" t="n">
        <v>0.25</v>
      </c>
      <c r="F224" s="6"/>
    </row>
    <row r="225" customFormat="false" ht="15" hidden="false" customHeight="false" outlineLevel="0" collapsed="false">
      <c r="A225" s="22" t="n">
        <v>46499</v>
      </c>
      <c r="B225" s="23" t="str">
        <f aca="false">IFERROR(INDEX(Sprint!$A$2:$A$11,MATCH(A225,Sprint!$B$2:$B$11,1)),"")</f>
        <v>S3</v>
      </c>
      <c r="C225" s="6" t="s">
        <v>37</v>
      </c>
      <c r="D225" s="6" t="s">
        <v>154</v>
      </c>
      <c r="E225" s="7" t="n">
        <v>0.25</v>
      </c>
      <c r="F225" s="6"/>
    </row>
    <row r="226" customFormat="false" ht="15" hidden="false" customHeight="false" outlineLevel="0" collapsed="false">
      <c r="A226" s="22" t="n">
        <v>46499</v>
      </c>
      <c r="B226" s="23" t="str">
        <f aca="false">IFERROR(INDEX(Sprint!$A$2:$A$11,MATCH(A226,Sprint!$B$2:$B$11,1)),"")</f>
        <v>S3</v>
      </c>
      <c r="C226" s="6" t="s">
        <v>37</v>
      </c>
      <c r="D226" s="6" t="s">
        <v>190</v>
      </c>
      <c r="E226" s="7" t="n">
        <v>0.5</v>
      </c>
      <c r="F226" s="6"/>
    </row>
    <row r="227" customFormat="false" ht="15" hidden="false" customHeight="false" outlineLevel="0" collapsed="false">
      <c r="A227" s="22" t="n">
        <v>46499</v>
      </c>
      <c r="B227" s="23" t="str">
        <f aca="false">IFERROR(INDEX(Sprint!$A$2:$A$11,MATCH(A227,Sprint!$B$2:$B$11,1)),"")</f>
        <v>S3</v>
      </c>
      <c r="C227" s="6" t="s">
        <v>49</v>
      </c>
      <c r="D227" s="6" t="s">
        <v>201</v>
      </c>
      <c r="E227" s="7" t="n">
        <v>1</v>
      </c>
      <c r="F227" s="6"/>
    </row>
    <row r="228" customFormat="false" ht="15" hidden="false" customHeight="false" outlineLevel="0" collapsed="false">
      <c r="A228" s="22" t="n">
        <v>46499</v>
      </c>
      <c r="B228" s="23" t="str">
        <f aca="false">IFERROR(INDEX(Sprint!$A$2:$A$11,MATCH(A228,Sprint!$B$2:$B$11,1)),"")</f>
        <v>S3</v>
      </c>
      <c r="C228" s="6" t="s">
        <v>44</v>
      </c>
      <c r="D228" s="6" t="s">
        <v>191</v>
      </c>
      <c r="E228" s="7" t="n">
        <v>1</v>
      </c>
      <c r="F228" s="6"/>
    </row>
    <row r="229" customFormat="false" ht="15" hidden="false" customHeight="false" outlineLevel="0" collapsed="false">
      <c r="A229" s="22" t="n">
        <v>46499</v>
      </c>
      <c r="B229" s="23" t="str">
        <f aca="false">IFERROR(INDEX(Sprint!$A$2:$A$11,MATCH(A229,Sprint!$B$2:$B$11,1)),"")</f>
        <v>S3</v>
      </c>
      <c r="C229" s="6" t="s">
        <v>47</v>
      </c>
      <c r="D229" s="6" t="s">
        <v>202</v>
      </c>
      <c r="E229" s="7" t="n">
        <v>1</v>
      </c>
      <c r="F229" s="6"/>
    </row>
    <row r="230" customFormat="false" ht="15" hidden="false" customHeight="false" outlineLevel="0" collapsed="false">
      <c r="A230" s="22" t="n">
        <v>46499</v>
      </c>
      <c r="B230" s="23" t="str">
        <f aca="false">IFERROR(INDEX(Sprint!$A$2:$A$11,MATCH(A230,Sprint!$B$2:$B$11,1)),"")</f>
        <v>S3</v>
      </c>
      <c r="C230" s="6" t="s">
        <v>41</v>
      </c>
      <c r="D230" s="6" t="s">
        <v>197</v>
      </c>
      <c r="E230" s="7" t="n">
        <v>1</v>
      </c>
      <c r="F230" s="6"/>
    </row>
    <row r="231" customFormat="false" ht="15" hidden="false" customHeight="false" outlineLevel="0" collapsed="false">
      <c r="A231" s="22" t="n">
        <v>46500</v>
      </c>
      <c r="B231" s="23" t="str">
        <f aca="false">IFERROR(INDEX(Sprint!$A$2:$A$11,MATCH(A231,Sprint!$B$2:$B$11,1)),"")</f>
        <v>S3</v>
      </c>
      <c r="C231" s="6" t="s">
        <v>56</v>
      </c>
      <c r="D231" s="6" t="s">
        <v>198</v>
      </c>
      <c r="E231" s="7" t="n">
        <v>1</v>
      </c>
      <c r="F231" s="6"/>
    </row>
    <row r="232" customFormat="false" ht="15" hidden="false" customHeight="false" outlineLevel="0" collapsed="false">
      <c r="A232" s="22" t="n">
        <v>46500</v>
      </c>
      <c r="B232" s="23" t="str">
        <f aca="false">IFERROR(INDEX(Sprint!$A$2:$A$11,MATCH(A232,Sprint!$B$2:$B$11,1)),"")</f>
        <v>S3</v>
      </c>
      <c r="C232" s="6" t="s">
        <v>58</v>
      </c>
      <c r="D232" s="6" t="s">
        <v>203</v>
      </c>
      <c r="E232" s="7" t="n">
        <v>1</v>
      </c>
      <c r="F232" s="6"/>
    </row>
    <row r="233" customFormat="false" ht="15" hidden="false" customHeight="false" outlineLevel="0" collapsed="false">
      <c r="A233" s="22" t="n">
        <v>46500</v>
      </c>
      <c r="B233" s="23" t="str">
        <f aca="false">IFERROR(INDEX(Sprint!$A$2:$A$11,MATCH(A233,Sprint!$B$2:$B$11,1)),"")</f>
        <v>S3</v>
      </c>
      <c r="C233" s="6" t="s">
        <v>60</v>
      </c>
      <c r="D233" s="6" t="s">
        <v>200</v>
      </c>
      <c r="E233" s="7" t="n">
        <v>0.75</v>
      </c>
      <c r="F233" s="6"/>
    </row>
    <row r="234" customFormat="false" ht="15" hidden="false" customHeight="false" outlineLevel="0" collapsed="false">
      <c r="A234" s="22" t="n">
        <v>46500</v>
      </c>
      <c r="B234" s="23" t="str">
        <f aca="false">IFERROR(INDEX(Sprint!$A$2:$A$11,MATCH(A234,Sprint!$B$2:$B$11,1)),"")</f>
        <v>S3</v>
      </c>
      <c r="C234" s="6" t="s">
        <v>67</v>
      </c>
      <c r="D234" s="6" t="s">
        <v>199</v>
      </c>
      <c r="E234" s="7" t="n">
        <v>0.75</v>
      </c>
      <c r="F234" s="6"/>
    </row>
    <row r="235" customFormat="false" ht="15" hidden="false" customHeight="false" outlineLevel="0" collapsed="false">
      <c r="A235" s="22" t="n">
        <v>46500</v>
      </c>
      <c r="B235" s="23" t="str">
        <f aca="false">IFERROR(INDEX(Sprint!$A$2:$A$11,MATCH(A235,Sprint!$B$2:$B$11,1)),"")</f>
        <v>S3</v>
      </c>
      <c r="C235" s="6" t="s">
        <v>67</v>
      </c>
      <c r="D235" s="6" t="s">
        <v>193</v>
      </c>
      <c r="E235" s="7" t="n">
        <v>0.25</v>
      </c>
      <c r="F235" s="6"/>
    </row>
    <row r="236" customFormat="false" ht="15" hidden="false" customHeight="false" outlineLevel="0" collapsed="false">
      <c r="A236" s="22" t="n">
        <v>46500</v>
      </c>
      <c r="B236" s="23" t="str">
        <f aca="false">IFERROR(INDEX(Sprint!$A$2:$A$11,MATCH(A236,Sprint!$B$2:$B$11,1)),"")</f>
        <v>S3</v>
      </c>
      <c r="C236" s="6" t="s">
        <v>52</v>
      </c>
      <c r="D236" s="6" t="s">
        <v>195</v>
      </c>
      <c r="E236" s="7" t="n">
        <v>1</v>
      </c>
      <c r="F236" s="6"/>
    </row>
    <row r="237" customFormat="false" ht="15" hidden="false" customHeight="false" outlineLevel="0" collapsed="false">
      <c r="A237" s="22" t="n">
        <v>46500</v>
      </c>
      <c r="B237" s="23" t="str">
        <f aca="false">IFERROR(INDEX(Sprint!$A$2:$A$11,MATCH(A237,Sprint!$B$2:$B$11,1)),"")</f>
        <v>S3</v>
      </c>
      <c r="C237" s="6" t="s">
        <v>62</v>
      </c>
      <c r="D237" s="6" t="s">
        <v>196</v>
      </c>
      <c r="E237" s="7" t="n">
        <v>1</v>
      </c>
      <c r="F237" s="6"/>
    </row>
    <row r="238" customFormat="false" ht="15" hidden="false" customHeight="false" outlineLevel="0" collapsed="false">
      <c r="A238" s="22" t="n">
        <v>46500</v>
      </c>
      <c r="B238" s="23" t="str">
        <f aca="false">IFERROR(INDEX(Sprint!$A$2:$A$11,MATCH(A238,Sprint!$B$2:$B$11,1)),"")</f>
        <v>S3</v>
      </c>
      <c r="C238" s="6" t="s">
        <v>37</v>
      </c>
      <c r="D238" s="6" t="s">
        <v>156</v>
      </c>
      <c r="E238" s="7" t="n">
        <v>0.25</v>
      </c>
      <c r="F238" s="6"/>
    </row>
    <row r="239" customFormat="false" ht="15" hidden="false" customHeight="false" outlineLevel="0" collapsed="false">
      <c r="A239" s="22" t="n">
        <v>46500</v>
      </c>
      <c r="B239" s="23" t="str">
        <f aca="false">IFERROR(INDEX(Sprint!$A$2:$A$11,MATCH(A239,Sprint!$B$2:$B$11,1)),"")</f>
        <v>S3</v>
      </c>
      <c r="C239" s="6" t="s">
        <v>37</v>
      </c>
      <c r="D239" s="6" t="s">
        <v>190</v>
      </c>
      <c r="E239" s="7" t="n">
        <v>0.5</v>
      </c>
      <c r="F239" s="6"/>
    </row>
    <row r="240" customFormat="false" ht="15" hidden="false" customHeight="false" outlineLevel="0" collapsed="false">
      <c r="A240" s="22" t="n">
        <v>46500</v>
      </c>
      <c r="B240" s="23" t="str">
        <f aca="false">IFERROR(INDEX(Sprint!$A$2:$A$11,MATCH(A240,Sprint!$B$2:$B$11,1)),"")</f>
        <v>S3</v>
      </c>
      <c r="C240" s="6" t="s">
        <v>49</v>
      </c>
      <c r="D240" s="6" t="s">
        <v>201</v>
      </c>
      <c r="E240" s="7" t="n">
        <v>1</v>
      </c>
      <c r="F240" s="6"/>
    </row>
    <row r="241" customFormat="false" ht="15" hidden="false" customHeight="false" outlineLevel="0" collapsed="false">
      <c r="A241" s="22" t="n">
        <v>46500</v>
      </c>
      <c r="B241" s="23" t="str">
        <f aca="false">IFERROR(INDEX(Sprint!$A$2:$A$11,MATCH(A241,Sprint!$B$2:$B$11,1)),"")</f>
        <v>S3</v>
      </c>
      <c r="C241" s="6" t="s">
        <v>44</v>
      </c>
      <c r="D241" s="6" t="s">
        <v>200</v>
      </c>
      <c r="E241" s="7" t="n">
        <v>1</v>
      </c>
      <c r="F241" s="6"/>
    </row>
    <row r="242" customFormat="false" ht="15" hidden="false" customHeight="false" outlineLevel="0" collapsed="false">
      <c r="A242" s="22" t="n">
        <v>46500</v>
      </c>
      <c r="B242" s="23" t="str">
        <f aca="false">IFERROR(INDEX(Sprint!$A$2:$A$11,MATCH(A242,Sprint!$B$2:$B$11,1)),"")</f>
        <v>S3</v>
      </c>
      <c r="C242" s="6" t="s">
        <v>47</v>
      </c>
      <c r="D242" s="6" t="s">
        <v>202</v>
      </c>
      <c r="E242" s="7" t="n">
        <v>1</v>
      </c>
      <c r="F242" s="6"/>
    </row>
    <row r="243" customFormat="false" ht="15" hidden="false" customHeight="false" outlineLevel="0" collapsed="false">
      <c r="A243" s="22" t="n">
        <v>46500</v>
      </c>
      <c r="B243" s="23" t="str">
        <f aca="false">IFERROR(INDEX(Sprint!$A$2:$A$11,MATCH(A243,Sprint!$B$2:$B$11,1)),"")</f>
        <v>S3</v>
      </c>
      <c r="C243" s="6" t="s">
        <v>41</v>
      </c>
      <c r="D243" s="6" t="s">
        <v>197</v>
      </c>
      <c r="E243" s="7" t="n">
        <v>1</v>
      </c>
      <c r="F243" s="6"/>
    </row>
    <row r="244" customFormat="false" ht="15" hidden="false" customHeight="false" outlineLevel="0" collapsed="false">
      <c r="A244" s="22" t="n">
        <v>46503</v>
      </c>
      <c r="B244" s="23" t="str">
        <f aca="false">IFERROR(INDEX(Sprint!$A$2:$A$11,MATCH(A244,Sprint!$B$2:$B$11,1)),"")</f>
        <v>S3</v>
      </c>
      <c r="C244" s="6" t="s">
        <v>56</v>
      </c>
      <c r="D244" s="6" t="s">
        <v>198</v>
      </c>
      <c r="E244" s="7" t="n">
        <v>1</v>
      </c>
      <c r="F244" s="6"/>
    </row>
    <row r="245" customFormat="false" ht="15" hidden="false" customHeight="false" outlineLevel="0" collapsed="false">
      <c r="A245" s="22" t="n">
        <v>46503</v>
      </c>
      <c r="B245" s="23" t="str">
        <f aca="false">IFERROR(INDEX(Sprint!$A$2:$A$11,MATCH(A245,Sprint!$B$2:$B$11,1)),"")</f>
        <v>S3</v>
      </c>
      <c r="C245" s="6" t="s">
        <v>58</v>
      </c>
      <c r="D245" s="6" t="s">
        <v>203</v>
      </c>
      <c r="E245" s="7" t="n">
        <v>1</v>
      </c>
      <c r="F245" s="6"/>
    </row>
    <row r="246" customFormat="false" ht="15" hidden="false" customHeight="false" outlineLevel="0" collapsed="false">
      <c r="A246" s="22" t="n">
        <v>46503</v>
      </c>
      <c r="B246" s="23" t="str">
        <f aca="false">IFERROR(INDEX(Sprint!$A$2:$A$11,MATCH(A246,Sprint!$B$2:$B$11,1)),"")</f>
        <v>S3</v>
      </c>
      <c r="C246" s="6" t="s">
        <v>60</v>
      </c>
      <c r="D246" s="6" t="s">
        <v>200</v>
      </c>
      <c r="E246" s="7" t="n">
        <v>0.75</v>
      </c>
      <c r="F246" s="6"/>
    </row>
    <row r="247" customFormat="false" ht="15" hidden="false" customHeight="false" outlineLevel="0" collapsed="false">
      <c r="A247" s="22" t="n">
        <v>46503</v>
      </c>
      <c r="B247" s="23" t="str">
        <f aca="false">IFERROR(INDEX(Sprint!$A$2:$A$11,MATCH(A247,Sprint!$B$2:$B$11,1)),"")</f>
        <v>S3</v>
      </c>
      <c r="C247" s="6" t="s">
        <v>67</v>
      </c>
      <c r="D247" s="6" t="s">
        <v>199</v>
      </c>
      <c r="E247" s="7" t="n">
        <v>1</v>
      </c>
      <c r="F247" s="6"/>
    </row>
    <row r="248" customFormat="false" ht="15" hidden="false" customHeight="false" outlineLevel="0" collapsed="false">
      <c r="A248" s="22" t="n">
        <v>46503</v>
      </c>
      <c r="B248" s="23" t="str">
        <f aca="false">IFERROR(INDEX(Sprint!$A$2:$A$11,MATCH(A248,Sprint!$B$2:$B$11,1)),"")</f>
        <v>S3</v>
      </c>
      <c r="C248" s="6" t="s">
        <v>62</v>
      </c>
      <c r="D248" s="6" t="s">
        <v>196</v>
      </c>
      <c r="E248" s="7" t="n">
        <v>1</v>
      </c>
      <c r="F248" s="6"/>
    </row>
    <row r="249" customFormat="false" ht="15" hidden="false" customHeight="false" outlineLevel="0" collapsed="false">
      <c r="A249" s="22" t="n">
        <v>46503</v>
      </c>
      <c r="B249" s="23" t="str">
        <f aca="false">IFERROR(INDEX(Sprint!$A$2:$A$11,MATCH(A249,Sprint!$B$2:$B$11,1)),"")</f>
        <v>S3</v>
      </c>
      <c r="C249" s="6" t="s">
        <v>65</v>
      </c>
      <c r="D249" s="6" t="s">
        <v>204</v>
      </c>
      <c r="E249" s="7" t="n">
        <v>1</v>
      </c>
      <c r="F249" s="6"/>
    </row>
    <row r="250" customFormat="false" ht="15" hidden="false" customHeight="false" outlineLevel="0" collapsed="false">
      <c r="A250" s="22" t="n">
        <v>46503</v>
      </c>
      <c r="B250" s="23" t="str">
        <f aca="false">IFERROR(INDEX(Sprint!$A$2:$A$11,MATCH(A250,Sprint!$B$2:$B$11,1)),"")</f>
        <v>S3</v>
      </c>
      <c r="C250" s="6" t="s">
        <v>37</v>
      </c>
      <c r="D250" s="6" t="s">
        <v>157</v>
      </c>
      <c r="E250" s="7" t="n">
        <v>0.25</v>
      </c>
      <c r="F250" s="6"/>
    </row>
    <row r="251" customFormat="false" ht="15" hidden="false" customHeight="false" outlineLevel="0" collapsed="false">
      <c r="A251" s="22" t="n">
        <v>46503</v>
      </c>
      <c r="B251" s="23" t="str">
        <f aca="false">IFERROR(INDEX(Sprint!$A$2:$A$11,MATCH(A251,Sprint!$B$2:$B$11,1)),"")</f>
        <v>S3</v>
      </c>
      <c r="C251" s="6" t="s">
        <v>37</v>
      </c>
      <c r="D251" s="6" t="s">
        <v>168</v>
      </c>
      <c r="E251" s="7" t="n">
        <v>0.25</v>
      </c>
      <c r="F251" s="6"/>
    </row>
    <row r="252" customFormat="false" ht="15" hidden="false" customHeight="false" outlineLevel="0" collapsed="false">
      <c r="A252" s="22" t="n">
        <v>46503</v>
      </c>
      <c r="B252" s="23" t="str">
        <f aca="false">IFERROR(INDEX(Sprint!$A$2:$A$11,MATCH(A252,Sprint!$B$2:$B$11,1)),"")</f>
        <v>S3</v>
      </c>
      <c r="C252" s="6" t="s">
        <v>37</v>
      </c>
      <c r="D252" s="6" t="s">
        <v>190</v>
      </c>
      <c r="E252" s="7" t="n">
        <v>0.5</v>
      </c>
      <c r="F252" s="6"/>
    </row>
    <row r="253" customFormat="false" ht="15" hidden="false" customHeight="false" outlineLevel="0" collapsed="false">
      <c r="A253" s="22" t="n">
        <v>46503</v>
      </c>
      <c r="B253" s="23" t="str">
        <f aca="false">IFERROR(INDEX(Sprint!$A$2:$A$11,MATCH(A253,Sprint!$B$2:$B$11,1)),"")</f>
        <v>S3</v>
      </c>
      <c r="C253" s="6" t="s">
        <v>49</v>
      </c>
      <c r="D253" s="6" t="s">
        <v>201</v>
      </c>
      <c r="E253" s="7" t="n">
        <v>1</v>
      </c>
      <c r="F253" s="6"/>
    </row>
    <row r="254" customFormat="false" ht="15" hidden="false" customHeight="false" outlineLevel="0" collapsed="false">
      <c r="A254" s="22" t="n">
        <v>46503</v>
      </c>
      <c r="B254" s="23" t="str">
        <f aca="false">IFERROR(INDEX(Sprint!$A$2:$A$11,MATCH(A254,Sprint!$B$2:$B$11,1)),"")</f>
        <v>S3</v>
      </c>
      <c r="C254" s="6" t="s">
        <v>44</v>
      </c>
      <c r="D254" s="6" t="s">
        <v>200</v>
      </c>
      <c r="E254" s="7" t="n">
        <v>1</v>
      </c>
      <c r="F254" s="6"/>
    </row>
    <row r="255" customFormat="false" ht="15" hidden="false" customHeight="false" outlineLevel="0" collapsed="false">
      <c r="A255" s="22" t="n">
        <v>46503</v>
      </c>
      <c r="B255" s="23" t="str">
        <f aca="false">IFERROR(INDEX(Sprint!$A$2:$A$11,MATCH(A255,Sprint!$B$2:$B$11,1)),"")</f>
        <v>S3</v>
      </c>
      <c r="C255" s="6" t="s">
        <v>47</v>
      </c>
      <c r="D255" s="6" t="s">
        <v>202</v>
      </c>
      <c r="E255" s="7" t="n">
        <v>1</v>
      </c>
      <c r="F255" s="6"/>
    </row>
    <row r="256" customFormat="false" ht="15" hidden="false" customHeight="false" outlineLevel="0" collapsed="false">
      <c r="A256" s="22" t="n">
        <v>46503</v>
      </c>
      <c r="B256" s="23" t="str">
        <f aca="false">IFERROR(INDEX(Sprint!$A$2:$A$11,MATCH(A256,Sprint!$B$2:$B$11,1)),"")</f>
        <v>S3</v>
      </c>
      <c r="C256" s="6" t="s">
        <v>41</v>
      </c>
      <c r="D256" s="6" t="s">
        <v>197</v>
      </c>
      <c r="E256" s="7" t="n">
        <v>1</v>
      </c>
      <c r="F256" s="6"/>
    </row>
    <row r="257" customFormat="false" ht="15" hidden="false" customHeight="false" outlineLevel="0" collapsed="false">
      <c r="A257" s="22" t="n">
        <v>46504</v>
      </c>
      <c r="B257" s="23" t="str">
        <f aca="false">IFERROR(INDEX(Sprint!$A$2:$A$11,MATCH(A257,Sprint!$B$2:$B$11,1)),"")</f>
        <v>S3</v>
      </c>
      <c r="C257" s="6" t="s">
        <v>56</v>
      </c>
      <c r="D257" s="6" t="s">
        <v>198</v>
      </c>
      <c r="E257" s="7" t="n">
        <v>1</v>
      </c>
      <c r="F257" s="6"/>
    </row>
    <row r="258" customFormat="false" ht="15" hidden="false" customHeight="false" outlineLevel="0" collapsed="false">
      <c r="A258" s="22" t="n">
        <v>46504</v>
      </c>
      <c r="B258" s="23" t="str">
        <f aca="false">IFERROR(INDEX(Sprint!$A$2:$A$11,MATCH(A258,Sprint!$B$2:$B$11,1)),"")</f>
        <v>S3</v>
      </c>
      <c r="C258" s="6" t="s">
        <v>58</v>
      </c>
      <c r="D258" s="6" t="s">
        <v>203</v>
      </c>
      <c r="E258" s="7" t="n">
        <v>1</v>
      </c>
      <c r="F258" s="6"/>
    </row>
    <row r="259" customFormat="false" ht="15" hidden="false" customHeight="false" outlineLevel="0" collapsed="false">
      <c r="A259" s="22" t="n">
        <v>46504</v>
      </c>
      <c r="B259" s="23" t="str">
        <f aca="false">IFERROR(INDEX(Sprint!$A$2:$A$11,MATCH(A259,Sprint!$B$2:$B$11,1)),"")</f>
        <v>S3</v>
      </c>
      <c r="C259" s="6" t="s">
        <v>60</v>
      </c>
      <c r="D259" s="6" t="s">
        <v>200</v>
      </c>
      <c r="E259" s="7" t="n">
        <v>1</v>
      </c>
      <c r="F259" s="6"/>
    </row>
    <row r="260" customFormat="false" ht="15" hidden="false" customHeight="false" outlineLevel="0" collapsed="false">
      <c r="A260" s="22" t="n">
        <v>46504</v>
      </c>
      <c r="B260" s="23" t="str">
        <f aca="false">IFERROR(INDEX(Sprint!$A$2:$A$11,MATCH(A260,Sprint!$B$2:$B$11,1)),"")</f>
        <v>S3</v>
      </c>
      <c r="C260" s="6" t="s">
        <v>67</v>
      </c>
      <c r="D260" s="6" t="s">
        <v>205</v>
      </c>
      <c r="E260" s="7" t="n">
        <v>0.75</v>
      </c>
      <c r="F260" s="6"/>
    </row>
    <row r="261" customFormat="false" ht="15" hidden="false" customHeight="false" outlineLevel="0" collapsed="false">
      <c r="A261" s="22" t="n">
        <v>46504</v>
      </c>
      <c r="B261" s="23" t="str">
        <f aca="false">IFERROR(INDEX(Sprint!$A$2:$A$11,MATCH(A261,Sprint!$B$2:$B$11,1)),"")</f>
        <v>S3</v>
      </c>
      <c r="C261" s="6" t="s">
        <v>67</v>
      </c>
      <c r="D261" s="6" t="s">
        <v>199</v>
      </c>
      <c r="E261" s="7" t="n">
        <v>0.25</v>
      </c>
      <c r="F261" s="6"/>
    </row>
    <row r="262" customFormat="false" ht="15" hidden="false" customHeight="false" outlineLevel="0" collapsed="false">
      <c r="A262" s="22" t="n">
        <v>46504</v>
      </c>
      <c r="B262" s="23" t="str">
        <f aca="false">IFERROR(INDEX(Sprint!$A$2:$A$11,MATCH(A262,Sprint!$B$2:$B$11,1)),"")</f>
        <v>S3</v>
      </c>
      <c r="C262" s="6" t="s">
        <v>52</v>
      </c>
      <c r="D262" s="6" t="s">
        <v>206</v>
      </c>
      <c r="E262" s="7" t="n">
        <v>1</v>
      </c>
      <c r="F262" s="6"/>
    </row>
    <row r="263" customFormat="false" ht="15" hidden="false" customHeight="false" outlineLevel="0" collapsed="false">
      <c r="A263" s="22" t="n">
        <v>46504</v>
      </c>
      <c r="B263" s="23" t="str">
        <f aca="false">IFERROR(INDEX(Sprint!$A$2:$A$11,MATCH(A263,Sprint!$B$2:$B$11,1)),"")</f>
        <v>S3</v>
      </c>
      <c r="C263" s="6" t="s">
        <v>62</v>
      </c>
      <c r="D263" s="6" t="s">
        <v>196</v>
      </c>
      <c r="E263" s="7" t="n">
        <v>1</v>
      </c>
      <c r="F263" s="6"/>
    </row>
    <row r="264" customFormat="false" ht="15" hidden="false" customHeight="false" outlineLevel="0" collapsed="false">
      <c r="A264" s="22" t="n">
        <v>46504</v>
      </c>
      <c r="B264" s="23" t="str">
        <f aca="false">IFERROR(INDEX(Sprint!$A$2:$A$11,MATCH(A264,Sprint!$B$2:$B$11,1)),"")</f>
        <v>S3</v>
      </c>
      <c r="C264" s="6" t="s">
        <v>65</v>
      </c>
      <c r="D264" s="6" t="s">
        <v>204</v>
      </c>
      <c r="E264" s="7" t="n">
        <v>1</v>
      </c>
      <c r="F264" s="6"/>
    </row>
    <row r="265" customFormat="false" ht="15" hidden="false" customHeight="false" outlineLevel="0" collapsed="false">
      <c r="A265" s="22" t="n">
        <v>46504</v>
      </c>
      <c r="B265" s="23" t="str">
        <f aca="false">IFERROR(INDEX(Sprint!$A$2:$A$11,MATCH(A265,Sprint!$B$2:$B$11,1)),"")</f>
        <v>S3</v>
      </c>
      <c r="C265" s="6" t="s">
        <v>37</v>
      </c>
      <c r="D265" s="6" t="s">
        <v>207</v>
      </c>
      <c r="E265" s="7" t="n">
        <v>0.5</v>
      </c>
      <c r="F265" s="6"/>
    </row>
    <row r="266" customFormat="false" ht="15" hidden="false" customHeight="false" outlineLevel="0" collapsed="false">
      <c r="A266" s="22" t="n">
        <v>46504</v>
      </c>
      <c r="B266" s="23" t="str">
        <f aca="false">IFERROR(INDEX(Sprint!$A$2:$A$11,MATCH(A266,Sprint!$B$2:$B$11,1)),"")</f>
        <v>S3</v>
      </c>
      <c r="C266" s="6" t="s">
        <v>37</v>
      </c>
      <c r="D266" s="6" t="s">
        <v>190</v>
      </c>
      <c r="E266" s="7" t="n">
        <v>0.5</v>
      </c>
      <c r="F266" s="6"/>
    </row>
    <row r="267" customFormat="false" ht="15" hidden="false" customHeight="false" outlineLevel="0" collapsed="false">
      <c r="A267" s="22" t="n">
        <v>46504</v>
      </c>
      <c r="B267" s="23" t="str">
        <f aca="false">IFERROR(INDEX(Sprint!$A$2:$A$11,MATCH(A267,Sprint!$B$2:$B$11,1)),"")</f>
        <v>S3</v>
      </c>
      <c r="C267" s="6" t="s">
        <v>49</v>
      </c>
      <c r="D267" s="6" t="s">
        <v>201</v>
      </c>
      <c r="E267" s="7" t="n">
        <v>1</v>
      </c>
      <c r="F267" s="6"/>
    </row>
    <row r="268" customFormat="false" ht="15" hidden="false" customHeight="false" outlineLevel="0" collapsed="false">
      <c r="A268" s="22" t="n">
        <v>46504</v>
      </c>
      <c r="B268" s="23" t="str">
        <f aca="false">IFERROR(INDEX(Sprint!$A$2:$A$11,MATCH(A268,Sprint!$B$2:$B$11,1)),"")</f>
        <v>S3</v>
      </c>
      <c r="C268" s="6" t="s">
        <v>44</v>
      </c>
      <c r="D268" s="6" t="s">
        <v>200</v>
      </c>
      <c r="E268" s="7" t="n">
        <v>1</v>
      </c>
      <c r="F268" s="6"/>
    </row>
    <row r="269" customFormat="false" ht="15" hidden="false" customHeight="false" outlineLevel="0" collapsed="false">
      <c r="A269" s="22" t="n">
        <v>46504</v>
      </c>
      <c r="B269" s="23" t="str">
        <f aca="false">IFERROR(INDEX(Sprint!$A$2:$A$11,MATCH(A269,Sprint!$B$2:$B$11,1)),"")</f>
        <v>S3</v>
      </c>
      <c r="C269" s="6" t="s">
        <v>47</v>
      </c>
      <c r="D269" s="6" t="s">
        <v>202</v>
      </c>
      <c r="E269" s="7" t="n">
        <v>1</v>
      </c>
      <c r="F269" s="6"/>
    </row>
    <row r="270" customFormat="false" ht="15" hidden="false" customHeight="false" outlineLevel="0" collapsed="false">
      <c r="A270" s="22" t="n">
        <v>46505</v>
      </c>
      <c r="B270" s="23" t="str">
        <f aca="false">IFERROR(INDEX(Sprint!$A$2:$A$11,MATCH(A270,Sprint!$B$2:$B$11,1)),"")</f>
        <v>S3</v>
      </c>
      <c r="C270" s="6" t="s">
        <v>56</v>
      </c>
      <c r="D270" s="6" t="s">
        <v>198</v>
      </c>
      <c r="E270" s="7" t="n">
        <v>1</v>
      </c>
      <c r="F270" s="6"/>
    </row>
    <row r="271" customFormat="false" ht="15" hidden="false" customHeight="false" outlineLevel="0" collapsed="false">
      <c r="A271" s="22" t="n">
        <v>46505</v>
      </c>
      <c r="B271" s="23" t="str">
        <f aca="false">IFERROR(INDEX(Sprint!$A$2:$A$11,MATCH(A271,Sprint!$B$2:$B$11,1)),"")</f>
        <v>S3</v>
      </c>
      <c r="C271" s="6" t="s">
        <v>58</v>
      </c>
      <c r="D271" s="6" t="s">
        <v>203</v>
      </c>
      <c r="E271" s="7" t="n">
        <v>0.5</v>
      </c>
      <c r="F271" s="6"/>
    </row>
    <row r="272" customFormat="false" ht="15" hidden="false" customHeight="false" outlineLevel="0" collapsed="false">
      <c r="A272" s="22" t="n">
        <v>46505</v>
      </c>
      <c r="B272" s="23" t="str">
        <f aca="false">IFERROR(INDEX(Sprint!$A$2:$A$11,MATCH(A272,Sprint!$B$2:$B$11,1)),"")</f>
        <v>S3</v>
      </c>
      <c r="C272" s="6" t="s">
        <v>58</v>
      </c>
      <c r="D272" s="6" t="s">
        <v>199</v>
      </c>
      <c r="E272" s="7" t="n">
        <v>0.5</v>
      </c>
      <c r="F272" s="6"/>
    </row>
    <row r="273" customFormat="false" ht="15" hidden="false" customHeight="false" outlineLevel="0" collapsed="false">
      <c r="A273" s="22" t="n">
        <v>46505</v>
      </c>
      <c r="B273" s="23" t="str">
        <f aca="false">IFERROR(INDEX(Sprint!$A$2:$A$11,MATCH(A273,Sprint!$B$2:$B$11,1)),"")</f>
        <v>S3</v>
      </c>
      <c r="C273" s="6" t="s">
        <v>60</v>
      </c>
      <c r="D273" s="6" t="s">
        <v>208</v>
      </c>
      <c r="E273" s="7" t="n">
        <v>1</v>
      </c>
      <c r="F273" s="6"/>
    </row>
    <row r="274" customFormat="false" ht="15" hidden="false" customHeight="false" outlineLevel="0" collapsed="false">
      <c r="A274" s="22" t="n">
        <v>46505</v>
      </c>
      <c r="B274" s="23" t="str">
        <f aca="false">IFERROR(INDEX(Sprint!$A$2:$A$11,MATCH(A274,Sprint!$B$2:$B$11,1)),"")</f>
        <v>S3</v>
      </c>
      <c r="C274" s="6" t="s">
        <v>67</v>
      </c>
      <c r="D274" s="6" t="s">
        <v>205</v>
      </c>
      <c r="E274" s="7" t="n">
        <v>1</v>
      </c>
      <c r="F274" s="6"/>
    </row>
    <row r="275" customFormat="false" ht="15" hidden="false" customHeight="false" outlineLevel="0" collapsed="false">
      <c r="A275" s="22" t="n">
        <v>46505</v>
      </c>
      <c r="B275" s="23" t="str">
        <f aca="false">IFERROR(INDEX(Sprint!$A$2:$A$11,MATCH(A275,Sprint!$B$2:$B$11,1)),"")</f>
        <v>S3</v>
      </c>
      <c r="C275" s="6" t="s">
        <v>52</v>
      </c>
      <c r="D275" s="6" t="s">
        <v>206</v>
      </c>
      <c r="E275" s="7" t="n">
        <v>1</v>
      </c>
      <c r="F275" s="6"/>
    </row>
    <row r="276" customFormat="false" ht="15" hidden="false" customHeight="false" outlineLevel="0" collapsed="false">
      <c r="A276" s="22" t="n">
        <v>46505</v>
      </c>
      <c r="B276" s="23" t="str">
        <f aca="false">IFERROR(INDEX(Sprint!$A$2:$A$11,MATCH(A276,Sprint!$B$2:$B$11,1)),"")</f>
        <v>S3</v>
      </c>
      <c r="C276" s="6" t="s">
        <v>62</v>
      </c>
      <c r="D276" s="6" t="s">
        <v>196</v>
      </c>
      <c r="E276" s="7" t="n">
        <v>1</v>
      </c>
      <c r="F276" s="6"/>
    </row>
    <row r="277" customFormat="false" ht="15" hidden="false" customHeight="false" outlineLevel="0" collapsed="false">
      <c r="A277" s="22" t="n">
        <v>46505</v>
      </c>
      <c r="B277" s="23" t="str">
        <f aca="false">IFERROR(INDEX(Sprint!$A$2:$A$11,MATCH(A277,Sprint!$B$2:$B$11,1)),"")</f>
        <v>S3</v>
      </c>
      <c r="C277" s="6" t="s">
        <v>65</v>
      </c>
      <c r="D277" s="6" t="s">
        <v>204</v>
      </c>
      <c r="E277" s="7" t="n">
        <v>1</v>
      </c>
      <c r="F277" s="6"/>
    </row>
    <row r="278" customFormat="false" ht="15" hidden="false" customHeight="false" outlineLevel="0" collapsed="false">
      <c r="A278" s="22" t="n">
        <v>46505</v>
      </c>
      <c r="B278" s="23" t="str">
        <f aca="false">IFERROR(INDEX(Sprint!$A$2:$A$11,MATCH(A278,Sprint!$B$2:$B$11,1)),"")</f>
        <v>S3</v>
      </c>
      <c r="C278" s="6" t="s">
        <v>37</v>
      </c>
      <c r="D278" s="6" t="s">
        <v>190</v>
      </c>
      <c r="E278" s="7" t="n">
        <v>1</v>
      </c>
      <c r="F278" s="6"/>
    </row>
    <row r="279" customFormat="false" ht="15" hidden="false" customHeight="false" outlineLevel="0" collapsed="false">
      <c r="A279" s="22" t="n">
        <v>46505</v>
      </c>
      <c r="B279" s="23" t="str">
        <f aca="false">IFERROR(INDEX(Sprint!$A$2:$A$11,MATCH(A279,Sprint!$B$2:$B$11,1)),"")</f>
        <v>S3</v>
      </c>
      <c r="C279" s="6" t="s">
        <v>49</v>
      </c>
      <c r="D279" s="6" t="s">
        <v>201</v>
      </c>
      <c r="E279" s="7" t="n">
        <v>1</v>
      </c>
      <c r="F279" s="6"/>
    </row>
    <row r="280" customFormat="false" ht="15" hidden="false" customHeight="false" outlineLevel="0" collapsed="false">
      <c r="A280" s="22" t="n">
        <v>46505</v>
      </c>
      <c r="B280" s="23" t="str">
        <f aca="false">IFERROR(INDEX(Sprint!$A$2:$A$11,MATCH(A280,Sprint!$B$2:$B$11,1)),"")</f>
        <v>S3</v>
      </c>
      <c r="C280" s="6" t="s">
        <v>47</v>
      </c>
      <c r="D280" s="6" t="s">
        <v>202</v>
      </c>
      <c r="E280" s="7" t="n">
        <v>1</v>
      </c>
      <c r="F280" s="6"/>
    </row>
    <row r="281" customFormat="false" ht="15" hidden="false" customHeight="false" outlineLevel="0" collapsed="false">
      <c r="A281" s="22" t="n">
        <v>46506</v>
      </c>
      <c r="B281" s="23" t="str">
        <f aca="false">IFERROR(INDEX(Sprint!$A$2:$A$11,MATCH(A281,Sprint!$B$2:$B$11,1)),"")</f>
        <v>S3</v>
      </c>
      <c r="C281" s="6" t="s">
        <v>56</v>
      </c>
      <c r="D281" s="6" t="s">
        <v>198</v>
      </c>
      <c r="E281" s="7" t="n">
        <v>1</v>
      </c>
      <c r="F281" s="6"/>
    </row>
    <row r="282" customFormat="false" ht="15" hidden="false" customHeight="false" outlineLevel="0" collapsed="false">
      <c r="A282" s="22" t="n">
        <v>46506</v>
      </c>
      <c r="B282" s="23" t="str">
        <f aca="false">IFERROR(INDEX(Sprint!$A$2:$A$11,MATCH(A282,Sprint!$B$2:$B$11,1)),"")</f>
        <v>S3</v>
      </c>
      <c r="C282" s="6" t="s">
        <v>58</v>
      </c>
      <c r="D282" s="6" t="s">
        <v>209</v>
      </c>
      <c r="E282" s="7" t="n">
        <v>0.5</v>
      </c>
      <c r="F282" s="6"/>
    </row>
    <row r="283" customFormat="false" ht="15" hidden="false" customHeight="false" outlineLevel="0" collapsed="false">
      <c r="A283" s="22" t="n">
        <v>46506</v>
      </c>
      <c r="B283" s="23" t="str">
        <f aca="false">IFERROR(INDEX(Sprint!$A$2:$A$11,MATCH(A283,Sprint!$B$2:$B$11,1)),"")</f>
        <v>S3</v>
      </c>
      <c r="C283" s="6" t="s">
        <v>58</v>
      </c>
      <c r="D283" s="6" t="s">
        <v>199</v>
      </c>
      <c r="E283" s="7" t="n">
        <v>0.5</v>
      </c>
      <c r="F283" s="6"/>
    </row>
    <row r="284" customFormat="false" ht="15" hidden="false" customHeight="false" outlineLevel="0" collapsed="false">
      <c r="A284" s="22" t="n">
        <v>46506</v>
      </c>
      <c r="B284" s="23" t="str">
        <f aca="false">IFERROR(INDEX(Sprint!$A$2:$A$11,MATCH(A284,Sprint!$B$2:$B$11,1)),"")</f>
        <v>S3</v>
      </c>
      <c r="C284" s="6" t="s">
        <v>60</v>
      </c>
      <c r="D284" s="6" t="s">
        <v>208</v>
      </c>
      <c r="E284" s="7" t="n">
        <v>1</v>
      </c>
      <c r="F284" s="6"/>
    </row>
    <row r="285" customFormat="false" ht="15" hidden="false" customHeight="false" outlineLevel="0" collapsed="false">
      <c r="A285" s="22" t="n">
        <v>46506</v>
      </c>
      <c r="B285" s="23" t="str">
        <f aca="false">IFERROR(INDEX(Sprint!$A$2:$A$11,MATCH(A285,Sprint!$B$2:$B$11,1)),"")</f>
        <v>S3</v>
      </c>
      <c r="C285" s="6" t="s">
        <v>67</v>
      </c>
      <c r="D285" s="6" t="s">
        <v>205</v>
      </c>
      <c r="E285" s="7" t="n">
        <v>1</v>
      </c>
      <c r="F285" s="6"/>
    </row>
    <row r="286" customFormat="false" ht="15" hidden="false" customHeight="false" outlineLevel="0" collapsed="false">
      <c r="A286" s="22" t="n">
        <v>46506</v>
      </c>
      <c r="B286" s="23" t="str">
        <f aca="false">IFERROR(INDEX(Sprint!$A$2:$A$11,MATCH(A286,Sprint!$B$2:$B$11,1)),"")</f>
        <v>S3</v>
      </c>
      <c r="C286" s="6" t="s">
        <v>52</v>
      </c>
      <c r="D286" s="6" t="s">
        <v>206</v>
      </c>
      <c r="E286" s="7" t="n">
        <v>1</v>
      </c>
      <c r="F286" s="6"/>
    </row>
    <row r="287" customFormat="false" ht="15" hidden="false" customHeight="false" outlineLevel="0" collapsed="false">
      <c r="A287" s="22" t="n">
        <v>46506</v>
      </c>
      <c r="B287" s="23" t="str">
        <f aca="false">IFERROR(INDEX(Sprint!$A$2:$A$11,MATCH(A287,Sprint!$B$2:$B$11,1)),"")</f>
        <v>S3</v>
      </c>
      <c r="C287" s="6" t="s">
        <v>62</v>
      </c>
      <c r="D287" s="6" t="s">
        <v>196</v>
      </c>
      <c r="E287" s="7" t="n">
        <v>1</v>
      </c>
      <c r="F287" s="6"/>
    </row>
    <row r="288" customFormat="false" ht="15" hidden="false" customHeight="false" outlineLevel="0" collapsed="false">
      <c r="A288" s="22" t="n">
        <v>46506</v>
      </c>
      <c r="B288" s="23" t="str">
        <f aca="false">IFERROR(INDEX(Sprint!$A$2:$A$11,MATCH(A288,Sprint!$B$2:$B$11,1)),"")</f>
        <v>S3</v>
      </c>
      <c r="C288" s="6" t="s">
        <v>65</v>
      </c>
      <c r="D288" s="6" t="s">
        <v>204</v>
      </c>
      <c r="E288" s="7" t="n">
        <v>1</v>
      </c>
      <c r="F288" s="6"/>
    </row>
    <row r="289" customFormat="false" ht="15" hidden="false" customHeight="false" outlineLevel="0" collapsed="false">
      <c r="A289" s="22" t="n">
        <v>46506</v>
      </c>
      <c r="B289" s="23" t="str">
        <f aca="false">IFERROR(INDEX(Sprint!$A$2:$A$11,MATCH(A289,Sprint!$B$2:$B$11,1)),"")</f>
        <v>S3</v>
      </c>
      <c r="C289" s="6" t="s">
        <v>37</v>
      </c>
      <c r="D289" s="6" t="s">
        <v>207</v>
      </c>
      <c r="E289" s="7" t="n">
        <v>0.5</v>
      </c>
      <c r="F289" s="6"/>
    </row>
    <row r="290" customFormat="false" ht="15" hidden="false" customHeight="false" outlineLevel="0" collapsed="false">
      <c r="A290" s="22" t="n">
        <v>46506</v>
      </c>
      <c r="B290" s="23" t="str">
        <f aca="false">IFERROR(INDEX(Sprint!$A$2:$A$11,MATCH(A290,Sprint!$B$2:$B$11,1)),"")</f>
        <v>S3</v>
      </c>
      <c r="C290" s="6" t="s">
        <v>37</v>
      </c>
      <c r="D290" s="6" t="s">
        <v>190</v>
      </c>
      <c r="E290" s="7" t="n">
        <v>0.5</v>
      </c>
      <c r="F290" s="6"/>
    </row>
    <row r="291" customFormat="false" ht="15" hidden="false" customHeight="false" outlineLevel="0" collapsed="false">
      <c r="A291" s="22" t="n">
        <v>46506</v>
      </c>
      <c r="B291" s="23" t="str">
        <f aca="false">IFERROR(INDEX(Sprint!$A$2:$A$11,MATCH(A291,Sprint!$B$2:$B$11,1)),"")</f>
        <v>S3</v>
      </c>
      <c r="C291" s="6" t="s">
        <v>47</v>
      </c>
      <c r="D291" s="6" t="s">
        <v>202</v>
      </c>
      <c r="E291" s="7" t="n">
        <v>1</v>
      </c>
      <c r="F291" s="6"/>
    </row>
    <row r="292" customFormat="false" ht="15" hidden="false" customHeight="false" outlineLevel="0" collapsed="false">
      <c r="A292" s="22" t="n">
        <v>46511</v>
      </c>
      <c r="B292" s="23" t="str">
        <f aca="false">IFERROR(INDEX(Sprint!$A$2:$A$11,MATCH(A292,Sprint!$B$2:$B$11,1)),"")</f>
        <v>S3</v>
      </c>
      <c r="C292" s="6" t="s">
        <v>56</v>
      </c>
      <c r="D292" s="6" t="s">
        <v>210</v>
      </c>
      <c r="E292" s="7" t="n">
        <v>1</v>
      </c>
      <c r="F292" s="6"/>
    </row>
    <row r="293" customFormat="false" ht="15" hidden="false" customHeight="false" outlineLevel="0" collapsed="false">
      <c r="A293" s="22" t="n">
        <v>46511</v>
      </c>
      <c r="B293" s="23" t="str">
        <f aca="false">IFERROR(INDEX(Sprint!$A$2:$A$11,MATCH(A293,Sprint!$B$2:$B$11,1)),"")</f>
        <v>S3</v>
      </c>
      <c r="C293" s="6" t="s">
        <v>58</v>
      </c>
      <c r="D293" s="6" t="s">
        <v>209</v>
      </c>
      <c r="E293" s="7" t="n">
        <v>1</v>
      </c>
      <c r="F293" s="6"/>
    </row>
    <row r="294" customFormat="false" ht="15" hidden="false" customHeight="false" outlineLevel="0" collapsed="false">
      <c r="A294" s="22" t="n">
        <v>46511</v>
      </c>
      <c r="B294" s="23" t="str">
        <f aca="false">IFERROR(INDEX(Sprint!$A$2:$A$11,MATCH(A294,Sprint!$B$2:$B$11,1)),"")</f>
        <v>S3</v>
      </c>
      <c r="C294" s="6" t="s">
        <v>60</v>
      </c>
      <c r="D294" s="6" t="s">
        <v>208</v>
      </c>
      <c r="E294" s="7" t="n">
        <v>1</v>
      </c>
      <c r="F294" s="6"/>
    </row>
    <row r="295" customFormat="false" ht="15" hidden="false" customHeight="false" outlineLevel="0" collapsed="false">
      <c r="A295" s="22" t="n">
        <v>46511</v>
      </c>
      <c r="B295" s="23" t="str">
        <f aca="false">IFERROR(INDEX(Sprint!$A$2:$A$11,MATCH(A295,Sprint!$B$2:$B$11,1)),"")</f>
        <v>S3</v>
      </c>
      <c r="C295" s="6" t="s">
        <v>67</v>
      </c>
      <c r="D295" s="6" t="s">
        <v>205</v>
      </c>
      <c r="E295" s="7" t="n">
        <v>1</v>
      </c>
      <c r="F295" s="6"/>
    </row>
    <row r="296" customFormat="false" ht="15" hidden="false" customHeight="false" outlineLevel="0" collapsed="false">
      <c r="A296" s="22" t="n">
        <v>46511</v>
      </c>
      <c r="B296" s="23" t="str">
        <f aca="false">IFERROR(INDEX(Sprint!$A$2:$A$11,MATCH(A296,Sprint!$B$2:$B$11,1)),"")</f>
        <v>S3</v>
      </c>
      <c r="C296" s="6" t="s">
        <v>52</v>
      </c>
      <c r="D296" s="6" t="s">
        <v>211</v>
      </c>
      <c r="E296" s="7" t="n">
        <v>1</v>
      </c>
      <c r="F296" s="6"/>
    </row>
    <row r="297" customFormat="false" ht="15" hidden="false" customHeight="false" outlineLevel="0" collapsed="false">
      <c r="A297" s="22" t="n">
        <v>46511</v>
      </c>
      <c r="B297" s="23" t="str">
        <f aca="false">IFERROR(INDEX(Sprint!$A$2:$A$11,MATCH(A297,Sprint!$B$2:$B$11,1)),"")</f>
        <v>S3</v>
      </c>
      <c r="C297" s="6" t="s">
        <v>62</v>
      </c>
      <c r="D297" s="6" t="s">
        <v>196</v>
      </c>
      <c r="E297" s="7" t="n">
        <v>0.25</v>
      </c>
      <c r="F297" s="6"/>
    </row>
    <row r="298" customFormat="false" ht="15" hidden="false" customHeight="false" outlineLevel="0" collapsed="false">
      <c r="A298" s="22" t="n">
        <v>46511</v>
      </c>
      <c r="B298" s="23" t="str">
        <f aca="false">IFERROR(INDEX(Sprint!$A$2:$A$11,MATCH(A298,Sprint!$B$2:$B$11,1)),"")</f>
        <v>S3</v>
      </c>
      <c r="C298" s="6" t="s">
        <v>62</v>
      </c>
      <c r="D298" s="6" t="s">
        <v>212</v>
      </c>
      <c r="E298" s="7" t="n">
        <v>0.75</v>
      </c>
      <c r="F298" s="6"/>
    </row>
    <row r="299" customFormat="false" ht="15" hidden="false" customHeight="false" outlineLevel="0" collapsed="false">
      <c r="A299" s="22" t="n">
        <v>46511</v>
      </c>
      <c r="B299" s="23" t="str">
        <f aca="false">IFERROR(INDEX(Sprint!$A$2:$A$11,MATCH(A299,Sprint!$B$2:$B$11,1)),"")</f>
        <v>S3</v>
      </c>
      <c r="C299" s="6" t="s">
        <v>65</v>
      </c>
      <c r="D299" s="6" t="s">
        <v>204</v>
      </c>
      <c r="E299" s="7" t="n">
        <v>1</v>
      </c>
      <c r="F299" s="6"/>
    </row>
    <row r="300" customFormat="false" ht="15" hidden="false" customHeight="false" outlineLevel="0" collapsed="false">
      <c r="A300" s="22" t="n">
        <v>46511</v>
      </c>
      <c r="B300" s="23" t="str">
        <f aca="false">IFERROR(INDEX(Sprint!$A$2:$A$11,MATCH(A300,Sprint!$B$2:$B$11,1)),"")</f>
        <v>S3</v>
      </c>
      <c r="C300" s="6" t="s">
        <v>37</v>
      </c>
      <c r="D300" s="6" t="s">
        <v>207</v>
      </c>
      <c r="E300" s="7" t="n">
        <v>1</v>
      </c>
      <c r="F300" s="6"/>
    </row>
    <row r="301" customFormat="false" ht="15" hidden="false" customHeight="false" outlineLevel="0" collapsed="false">
      <c r="A301" s="22" t="n">
        <v>46511</v>
      </c>
      <c r="B301" s="23" t="str">
        <f aca="false">IFERROR(INDEX(Sprint!$A$2:$A$11,MATCH(A301,Sprint!$B$2:$B$11,1)),"")</f>
        <v>S3</v>
      </c>
      <c r="C301" s="6" t="s">
        <v>49</v>
      </c>
      <c r="D301" s="6" t="s">
        <v>213</v>
      </c>
      <c r="E301" s="7" t="n">
        <v>1</v>
      </c>
      <c r="F301" s="6"/>
    </row>
    <row r="302" customFormat="false" ht="15" hidden="false" customHeight="false" outlineLevel="0" collapsed="false">
      <c r="A302" s="22" t="n">
        <v>46511</v>
      </c>
      <c r="B302" s="23" t="str">
        <f aca="false">IFERROR(INDEX(Sprint!$A$2:$A$11,MATCH(A302,Sprint!$B$2:$B$11,1)),"")</f>
        <v>S3</v>
      </c>
      <c r="C302" s="6" t="s">
        <v>44</v>
      </c>
      <c r="D302" s="6" t="s">
        <v>214</v>
      </c>
      <c r="E302" s="7" t="n">
        <v>1</v>
      </c>
      <c r="F302" s="6"/>
    </row>
    <row r="303" customFormat="false" ht="15" hidden="false" customHeight="false" outlineLevel="0" collapsed="false">
      <c r="A303" s="22" t="n">
        <v>46511</v>
      </c>
      <c r="B303" s="23" t="str">
        <f aca="false">IFERROR(INDEX(Sprint!$A$2:$A$11,MATCH(A303,Sprint!$B$2:$B$11,1)),"")</f>
        <v>S3</v>
      </c>
      <c r="C303" s="6" t="s">
        <v>47</v>
      </c>
      <c r="D303" s="6" t="s">
        <v>215</v>
      </c>
      <c r="E303" s="7" t="n">
        <v>1</v>
      </c>
      <c r="F303" s="6"/>
    </row>
    <row r="304" customFormat="false" ht="15" hidden="false" customHeight="false" outlineLevel="0" collapsed="false">
      <c r="A304" s="22" t="n">
        <v>46511</v>
      </c>
      <c r="B304" s="23" t="str">
        <f aca="false">IFERROR(INDEX(Sprint!$A$2:$A$11,MATCH(A304,Sprint!$B$2:$B$11,1)),"")</f>
        <v>S3</v>
      </c>
      <c r="C304" s="6" t="s">
        <v>41</v>
      </c>
      <c r="D304" s="6" t="s">
        <v>216</v>
      </c>
      <c r="E304" s="7" t="n">
        <v>1</v>
      </c>
      <c r="F304" s="6"/>
    </row>
    <row r="305" customFormat="false" ht="15" hidden="false" customHeight="false" outlineLevel="0" collapsed="false">
      <c r="A305" s="22" t="n">
        <v>46512</v>
      </c>
      <c r="B305" s="23" t="str">
        <f aca="false">IFERROR(INDEX(Sprint!$A$2:$A$11,MATCH(A305,Sprint!$B$2:$B$11,1)),"")</f>
        <v>S3</v>
      </c>
      <c r="C305" s="6" t="s">
        <v>56</v>
      </c>
      <c r="D305" s="6" t="s">
        <v>210</v>
      </c>
      <c r="E305" s="7" t="n">
        <v>1</v>
      </c>
      <c r="F305" s="6"/>
    </row>
    <row r="306" customFormat="false" ht="15" hidden="false" customHeight="false" outlineLevel="0" collapsed="false">
      <c r="A306" s="22" t="n">
        <v>46512</v>
      </c>
      <c r="B306" s="23" t="str">
        <f aca="false">IFERROR(INDEX(Sprint!$A$2:$A$11,MATCH(A306,Sprint!$B$2:$B$11,1)),"")</f>
        <v>S3</v>
      </c>
      <c r="C306" s="6" t="s">
        <v>58</v>
      </c>
      <c r="D306" s="6" t="s">
        <v>209</v>
      </c>
      <c r="E306" s="7" t="n">
        <v>1</v>
      </c>
      <c r="F306" s="6"/>
    </row>
    <row r="307" customFormat="false" ht="15" hidden="false" customHeight="false" outlineLevel="0" collapsed="false">
      <c r="A307" s="22" t="n">
        <v>46512</v>
      </c>
      <c r="B307" s="23" t="str">
        <f aca="false">IFERROR(INDEX(Sprint!$A$2:$A$11,MATCH(A307,Sprint!$B$2:$B$11,1)),"")</f>
        <v>S3</v>
      </c>
      <c r="C307" s="6" t="s">
        <v>60</v>
      </c>
      <c r="D307" s="6" t="s">
        <v>208</v>
      </c>
      <c r="E307" s="7" t="n">
        <v>1</v>
      </c>
      <c r="F307" s="6"/>
    </row>
    <row r="308" customFormat="false" ht="15" hidden="false" customHeight="false" outlineLevel="0" collapsed="false">
      <c r="A308" s="22" t="n">
        <v>46512</v>
      </c>
      <c r="B308" s="23" t="str">
        <f aca="false">IFERROR(INDEX(Sprint!$A$2:$A$11,MATCH(A308,Sprint!$B$2:$B$11,1)),"")</f>
        <v>S3</v>
      </c>
      <c r="C308" s="6" t="s">
        <v>67</v>
      </c>
      <c r="D308" s="6" t="s">
        <v>205</v>
      </c>
      <c r="E308" s="7" t="n">
        <v>1</v>
      </c>
      <c r="F308" s="6"/>
    </row>
    <row r="309" customFormat="false" ht="15" hidden="false" customHeight="false" outlineLevel="0" collapsed="false">
      <c r="A309" s="22" t="n">
        <v>46512</v>
      </c>
      <c r="B309" s="23" t="str">
        <f aca="false">IFERROR(INDEX(Sprint!$A$2:$A$11,MATCH(A309,Sprint!$B$2:$B$11,1)),"")</f>
        <v>S3</v>
      </c>
      <c r="C309" s="6" t="s">
        <v>52</v>
      </c>
      <c r="D309" s="6" t="s">
        <v>211</v>
      </c>
      <c r="E309" s="7" t="n">
        <v>1</v>
      </c>
      <c r="F309" s="6"/>
    </row>
    <row r="310" customFormat="false" ht="15" hidden="false" customHeight="false" outlineLevel="0" collapsed="false">
      <c r="A310" s="22" t="n">
        <v>46512</v>
      </c>
      <c r="B310" s="23" t="str">
        <f aca="false">IFERROR(INDEX(Sprint!$A$2:$A$11,MATCH(A310,Sprint!$B$2:$B$11,1)),"")</f>
        <v>S3</v>
      </c>
      <c r="C310" s="6" t="s">
        <v>62</v>
      </c>
      <c r="D310" s="6" t="s">
        <v>212</v>
      </c>
      <c r="E310" s="7" t="n">
        <v>1</v>
      </c>
      <c r="F310" s="6"/>
    </row>
    <row r="311" customFormat="false" ht="15" hidden="false" customHeight="false" outlineLevel="0" collapsed="false">
      <c r="A311" s="22" t="n">
        <v>46512</v>
      </c>
      <c r="B311" s="23" t="str">
        <f aca="false">IFERROR(INDEX(Sprint!$A$2:$A$11,MATCH(A311,Sprint!$B$2:$B$11,1)),"")</f>
        <v>S3</v>
      </c>
      <c r="C311" s="6" t="s">
        <v>65</v>
      </c>
      <c r="D311" s="6" t="s">
        <v>204</v>
      </c>
      <c r="E311" s="7" t="n">
        <v>1</v>
      </c>
      <c r="F311" s="6"/>
    </row>
    <row r="312" customFormat="false" ht="15" hidden="false" customHeight="false" outlineLevel="0" collapsed="false">
      <c r="A312" s="22" t="n">
        <v>46512</v>
      </c>
      <c r="B312" s="23" t="str">
        <f aca="false">IFERROR(INDEX(Sprint!$A$2:$A$11,MATCH(A312,Sprint!$B$2:$B$11,1)),"")</f>
        <v>S3</v>
      </c>
      <c r="C312" s="6" t="s">
        <v>37</v>
      </c>
      <c r="D312" s="6" t="s">
        <v>150</v>
      </c>
      <c r="E312" s="7" t="n">
        <v>0.5</v>
      </c>
      <c r="F312" s="6"/>
    </row>
    <row r="313" customFormat="false" ht="15" hidden="false" customHeight="false" outlineLevel="0" collapsed="false">
      <c r="A313" s="22" t="n">
        <v>46512</v>
      </c>
      <c r="B313" s="23" t="str">
        <f aca="false">IFERROR(INDEX(Sprint!$A$2:$A$11,MATCH(A313,Sprint!$B$2:$B$11,1)),"")</f>
        <v>S3</v>
      </c>
      <c r="C313" s="6" t="s">
        <v>37</v>
      </c>
      <c r="D313" s="6" t="s">
        <v>207</v>
      </c>
      <c r="E313" s="7" t="n">
        <v>0.5</v>
      </c>
      <c r="F313" s="6"/>
    </row>
    <row r="314" customFormat="false" ht="15" hidden="false" customHeight="false" outlineLevel="0" collapsed="false">
      <c r="A314" s="22" t="n">
        <v>46512</v>
      </c>
      <c r="B314" s="23" t="str">
        <f aca="false">IFERROR(INDEX(Sprint!$A$2:$A$11,MATCH(A314,Sprint!$B$2:$B$11,1)),"")</f>
        <v>S3</v>
      </c>
      <c r="C314" s="6" t="s">
        <v>49</v>
      </c>
      <c r="D314" s="6" t="s">
        <v>213</v>
      </c>
      <c r="E314" s="7" t="n">
        <v>1</v>
      </c>
      <c r="F314" s="6"/>
    </row>
    <row r="315" customFormat="false" ht="15" hidden="false" customHeight="false" outlineLevel="0" collapsed="false">
      <c r="A315" s="22" t="n">
        <v>46512</v>
      </c>
      <c r="B315" s="23" t="str">
        <f aca="false">IFERROR(INDEX(Sprint!$A$2:$A$11,MATCH(A315,Sprint!$B$2:$B$11,1)),"")</f>
        <v>S3</v>
      </c>
      <c r="C315" s="6" t="s">
        <v>44</v>
      </c>
      <c r="D315" s="6" t="s">
        <v>214</v>
      </c>
      <c r="E315" s="7" t="n">
        <v>1</v>
      </c>
      <c r="F315" s="6"/>
    </row>
    <row r="316" customFormat="false" ht="15" hidden="false" customHeight="false" outlineLevel="0" collapsed="false">
      <c r="A316" s="22" t="n">
        <v>46512</v>
      </c>
      <c r="B316" s="23" t="str">
        <f aca="false">IFERROR(INDEX(Sprint!$A$2:$A$11,MATCH(A316,Sprint!$B$2:$B$11,1)),"")</f>
        <v>S3</v>
      </c>
      <c r="C316" s="6" t="s">
        <v>47</v>
      </c>
      <c r="D316" s="6" t="s">
        <v>215</v>
      </c>
      <c r="E316" s="7" t="n">
        <v>1</v>
      </c>
      <c r="F316" s="6"/>
    </row>
    <row r="317" customFormat="false" ht="15" hidden="false" customHeight="false" outlineLevel="0" collapsed="false">
      <c r="A317" s="22" t="n">
        <v>46512</v>
      </c>
      <c r="B317" s="23" t="str">
        <f aca="false">IFERROR(INDEX(Sprint!$A$2:$A$11,MATCH(A317,Sprint!$B$2:$B$11,1)),"")</f>
        <v>S3</v>
      </c>
      <c r="C317" s="6" t="s">
        <v>41</v>
      </c>
      <c r="D317" s="6" t="s">
        <v>216</v>
      </c>
      <c r="E317" s="7" t="n">
        <v>1</v>
      </c>
      <c r="F317" s="6"/>
    </row>
    <row r="318" customFormat="false" ht="15" hidden="false" customHeight="false" outlineLevel="0" collapsed="false">
      <c r="A318" s="22" t="n">
        <v>46513</v>
      </c>
      <c r="B318" s="23" t="str">
        <f aca="false">IFERROR(INDEX(Sprint!$A$2:$A$11,MATCH(A318,Sprint!$B$2:$B$11,1)),"")</f>
        <v>S3</v>
      </c>
      <c r="C318" s="6" t="s">
        <v>56</v>
      </c>
      <c r="D318" s="6" t="s">
        <v>210</v>
      </c>
      <c r="E318" s="7" t="n">
        <v>1</v>
      </c>
      <c r="F318" s="6"/>
    </row>
    <row r="319" customFormat="false" ht="15" hidden="false" customHeight="false" outlineLevel="0" collapsed="false">
      <c r="A319" s="22" t="n">
        <v>46513</v>
      </c>
      <c r="B319" s="23" t="str">
        <f aca="false">IFERROR(INDEX(Sprint!$A$2:$A$11,MATCH(A319,Sprint!$B$2:$B$11,1)),"")</f>
        <v>S3</v>
      </c>
      <c r="C319" s="6" t="s">
        <v>58</v>
      </c>
      <c r="D319" s="6" t="s">
        <v>209</v>
      </c>
      <c r="E319" s="7" t="n">
        <v>0.5</v>
      </c>
      <c r="F319" s="6"/>
    </row>
    <row r="320" customFormat="false" ht="15" hidden="false" customHeight="false" outlineLevel="0" collapsed="false">
      <c r="A320" s="22" t="n">
        <v>46513</v>
      </c>
      <c r="B320" s="23" t="str">
        <f aca="false">IFERROR(INDEX(Sprint!$A$2:$A$11,MATCH(A320,Sprint!$B$2:$B$11,1)),"")</f>
        <v>S3</v>
      </c>
      <c r="C320" s="6" t="s">
        <v>58</v>
      </c>
      <c r="D320" s="6" t="s">
        <v>217</v>
      </c>
      <c r="E320" s="7" t="n">
        <v>0.5</v>
      </c>
      <c r="F320" s="6"/>
    </row>
    <row r="321" customFormat="false" ht="15" hidden="false" customHeight="false" outlineLevel="0" collapsed="false">
      <c r="A321" s="22" t="n">
        <v>46513</v>
      </c>
      <c r="B321" s="23" t="str">
        <f aca="false">IFERROR(INDEX(Sprint!$A$2:$A$11,MATCH(A321,Sprint!$B$2:$B$11,1)),"")</f>
        <v>S3</v>
      </c>
      <c r="C321" s="6" t="s">
        <v>60</v>
      </c>
      <c r="D321" s="6" t="s">
        <v>208</v>
      </c>
      <c r="E321" s="7" t="n">
        <v>1</v>
      </c>
      <c r="F321" s="6"/>
    </row>
    <row r="322" customFormat="false" ht="15" hidden="false" customHeight="false" outlineLevel="0" collapsed="false">
      <c r="A322" s="22" t="n">
        <v>46513</v>
      </c>
      <c r="B322" s="23" t="str">
        <f aca="false">IFERROR(INDEX(Sprint!$A$2:$A$11,MATCH(A322,Sprint!$B$2:$B$11,1)),"")</f>
        <v>S3</v>
      </c>
      <c r="C322" s="6" t="s">
        <v>67</v>
      </c>
      <c r="D322" s="6" t="s">
        <v>205</v>
      </c>
      <c r="E322" s="7" t="n">
        <v>0.25</v>
      </c>
      <c r="F322" s="6"/>
    </row>
    <row r="323" customFormat="false" ht="15" hidden="false" customHeight="false" outlineLevel="0" collapsed="false">
      <c r="A323" s="22" t="n">
        <v>46513</v>
      </c>
      <c r="B323" s="23" t="str">
        <f aca="false">IFERROR(INDEX(Sprint!$A$2:$A$11,MATCH(A323,Sprint!$B$2:$B$11,1)),"")</f>
        <v>S3</v>
      </c>
      <c r="C323" s="6" t="s">
        <v>67</v>
      </c>
      <c r="D323" s="6" t="s">
        <v>218</v>
      </c>
      <c r="E323" s="7" t="n">
        <v>0.75</v>
      </c>
      <c r="F323" s="6"/>
    </row>
    <row r="324" customFormat="false" ht="15" hidden="false" customHeight="false" outlineLevel="0" collapsed="false">
      <c r="A324" s="22" t="n">
        <v>46513</v>
      </c>
      <c r="B324" s="23" t="str">
        <f aca="false">IFERROR(INDEX(Sprint!$A$2:$A$11,MATCH(A324,Sprint!$B$2:$B$11,1)),"")</f>
        <v>S3</v>
      </c>
      <c r="C324" s="6" t="s">
        <v>52</v>
      </c>
      <c r="D324" s="6" t="s">
        <v>211</v>
      </c>
      <c r="E324" s="7" t="n">
        <v>1</v>
      </c>
      <c r="F324" s="6"/>
    </row>
    <row r="325" customFormat="false" ht="15" hidden="false" customHeight="false" outlineLevel="0" collapsed="false">
      <c r="A325" s="22" t="n">
        <v>46513</v>
      </c>
      <c r="B325" s="23" t="str">
        <f aca="false">IFERROR(INDEX(Sprint!$A$2:$A$11,MATCH(A325,Sprint!$B$2:$B$11,1)),"")</f>
        <v>S3</v>
      </c>
      <c r="C325" s="6" t="s">
        <v>62</v>
      </c>
      <c r="D325" s="6" t="s">
        <v>219</v>
      </c>
      <c r="E325" s="7" t="n">
        <v>1</v>
      </c>
      <c r="F325" s="6"/>
    </row>
    <row r="326" customFormat="false" ht="15" hidden="false" customHeight="false" outlineLevel="0" collapsed="false">
      <c r="A326" s="22" t="n">
        <v>46513</v>
      </c>
      <c r="B326" s="23" t="str">
        <f aca="false">IFERROR(INDEX(Sprint!$A$2:$A$11,MATCH(A326,Sprint!$B$2:$B$11,1)),"")</f>
        <v>S3</v>
      </c>
      <c r="C326" s="6" t="s">
        <v>37</v>
      </c>
      <c r="D326" s="6" t="s">
        <v>151</v>
      </c>
      <c r="E326" s="7" t="n">
        <v>0.25</v>
      </c>
      <c r="F326" s="6"/>
    </row>
    <row r="327" customFormat="false" ht="15" hidden="false" customHeight="false" outlineLevel="0" collapsed="false">
      <c r="A327" s="22" t="n">
        <v>46513</v>
      </c>
      <c r="B327" s="23" t="str">
        <f aca="false">IFERROR(INDEX(Sprint!$A$2:$A$11,MATCH(A327,Sprint!$B$2:$B$11,1)),"")</f>
        <v>S3</v>
      </c>
      <c r="C327" s="6" t="s">
        <v>37</v>
      </c>
      <c r="D327" s="6" t="s">
        <v>154</v>
      </c>
      <c r="E327" s="7" t="n">
        <v>0.25</v>
      </c>
      <c r="F327" s="6"/>
    </row>
    <row r="328" customFormat="false" ht="15" hidden="false" customHeight="false" outlineLevel="0" collapsed="false">
      <c r="A328" s="22" t="n">
        <v>46513</v>
      </c>
      <c r="B328" s="23" t="str">
        <f aca="false">IFERROR(INDEX(Sprint!$A$2:$A$11,MATCH(A328,Sprint!$B$2:$B$11,1)),"")</f>
        <v>S3</v>
      </c>
      <c r="C328" s="6" t="s">
        <v>37</v>
      </c>
      <c r="D328" s="6" t="s">
        <v>207</v>
      </c>
      <c r="E328" s="7" t="n">
        <v>0.5</v>
      </c>
      <c r="F328" s="6"/>
    </row>
    <row r="329" customFormat="false" ht="15" hidden="false" customHeight="false" outlineLevel="0" collapsed="false">
      <c r="A329" s="22" t="n">
        <v>46513</v>
      </c>
      <c r="B329" s="23" t="str">
        <f aca="false">IFERROR(INDEX(Sprint!$A$2:$A$11,MATCH(A329,Sprint!$B$2:$B$11,1)),"")</f>
        <v>S3</v>
      </c>
      <c r="C329" s="6" t="s">
        <v>49</v>
      </c>
      <c r="D329" s="6" t="s">
        <v>213</v>
      </c>
      <c r="E329" s="7" t="n">
        <v>1</v>
      </c>
      <c r="F329" s="6"/>
    </row>
    <row r="330" customFormat="false" ht="15" hidden="false" customHeight="false" outlineLevel="0" collapsed="false">
      <c r="A330" s="22" t="n">
        <v>46513</v>
      </c>
      <c r="B330" s="23" t="str">
        <f aca="false">IFERROR(INDEX(Sprint!$A$2:$A$11,MATCH(A330,Sprint!$B$2:$B$11,1)),"")</f>
        <v>S3</v>
      </c>
      <c r="C330" s="6" t="s">
        <v>44</v>
      </c>
      <c r="D330" s="6" t="s">
        <v>214</v>
      </c>
      <c r="E330" s="7" t="n">
        <v>1</v>
      </c>
      <c r="F330" s="6"/>
    </row>
    <row r="331" customFormat="false" ht="15" hidden="false" customHeight="false" outlineLevel="0" collapsed="false">
      <c r="A331" s="22" t="n">
        <v>46513</v>
      </c>
      <c r="B331" s="23" t="str">
        <f aca="false">IFERROR(INDEX(Sprint!$A$2:$A$11,MATCH(A331,Sprint!$B$2:$B$11,1)),"")</f>
        <v>S3</v>
      </c>
      <c r="C331" s="6" t="s">
        <v>47</v>
      </c>
      <c r="D331" s="6" t="s">
        <v>215</v>
      </c>
      <c r="E331" s="7" t="n">
        <v>1</v>
      </c>
      <c r="F331" s="6"/>
    </row>
    <row r="332" customFormat="false" ht="15" hidden="false" customHeight="false" outlineLevel="0" collapsed="false">
      <c r="A332" s="22" t="n">
        <v>46513</v>
      </c>
      <c r="B332" s="23" t="str">
        <f aca="false">IFERROR(INDEX(Sprint!$A$2:$A$11,MATCH(A332,Sprint!$B$2:$B$11,1)),"")</f>
        <v>S3</v>
      </c>
      <c r="C332" s="6" t="s">
        <v>41</v>
      </c>
      <c r="D332" s="6" t="s">
        <v>216</v>
      </c>
      <c r="E332" s="7" t="n">
        <v>1</v>
      </c>
      <c r="F332" s="6"/>
    </row>
    <row r="333" customFormat="false" ht="15" hidden="false" customHeight="false" outlineLevel="0" collapsed="false">
      <c r="A333" s="22" t="n">
        <v>46514</v>
      </c>
      <c r="B333" s="23" t="str">
        <f aca="false">IFERROR(INDEX(Sprint!$A$2:$A$11,MATCH(A333,Sprint!$B$2:$B$11,1)),"")</f>
        <v>S4</v>
      </c>
      <c r="C333" s="6" t="s">
        <v>56</v>
      </c>
      <c r="D333" s="6" t="s">
        <v>210</v>
      </c>
      <c r="E333" s="7" t="n">
        <v>1</v>
      </c>
      <c r="F333" s="6"/>
    </row>
    <row r="334" customFormat="false" ht="15" hidden="false" customHeight="false" outlineLevel="0" collapsed="false">
      <c r="A334" s="22" t="n">
        <v>46514</v>
      </c>
      <c r="B334" s="23" t="str">
        <f aca="false">IFERROR(INDEX(Sprint!$A$2:$A$11,MATCH(A334,Sprint!$B$2:$B$11,1)),"")</f>
        <v>S4</v>
      </c>
      <c r="C334" s="6" t="s">
        <v>58</v>
      </c>
      <c r="D334" s="6" t="s">
        <v>217</v>
      </c>
      <c r="E334" s="7" t="n">
        <v>1</v>
      </c>
      <c r="F334" s="6"/>
    </row>
    <row r="335" customFormat="false" ht="15" hidden="false" customHeight="false" outlineLevel="0" collapsed="false">
      <c r="A335" s="22" t="n">
        <v>46514</v>
      </c>
      <c r="B335" s="23" t="str">
        <f aca="false">IFERROR(INDEX(Sprint!$A$2:$A$11,MATCH(A335,Sprint!$B$2:$B$11,1)),"")</f>
        <v>S4</v>
      </c>
      <c r="C335" s="6" t="s">
        <v>60</v>
      </c>
      <c r="D335" s="6" t="s">
        <v>220</v>
      </c>
      <c r="E335" s="7" t="n">
        <v>1</v>
      </c>
      <c r="F335" s="6"/>
    </row>
    <row r="336" customFormat="false" ht="15" hidden="false" customHeight="false" outlineLevel="0" collapsed="false">
      <c r="A336" s="22" t="n">
        <v>46514</v>
      </c>
      <c r="B336" s="23" t="str">
        <f aca="false">IFERROR(INDEX(Sprint!$A$2:$A$11,MATCH(A336,Sprint!$B$2:$B$11,1)),"")</f>
        <v>S4</v>
      </c>
      <c r="C336" s="6" t="s">
        <v>67</v>
      </c>
      <c r="D336" s="6" t="s">
        <v>218</v>
      </c>
      <c r="E336" s="7" t="n">
        <v>1</v>
      </c>
      <c r="F336" s="6"/>
    </row>
    <row r="337" customFormat="false" ht="15" hidden="false" customHeight="false" outlineLevel="0" collapsed="false">
      <c r="A337" s="22" t="n">
        <v>46514</v>
      </c>
      <c r="B337" s="23" t="str">
        <f aca="false">IFERROR(INDEX(Sprint!$A$2:$A$11,MATCH(A337,Sprint!$B$2:$B$11,1)),"")</f>
        <v>S4</v>
      </c>
      <c r="C337" s="6" t="s">
        <v>52</v>
      </c>
      <c r="D337" s="6" t="s">
        <v>211</v>
      </c>
      <c r="E337" s="7" t="n">
        <v>1</v>
      </c>
      <c r="F337" s="6"/>
    </row>
    <row r="338" customFormat="false" ht="15" hidden="false" customHeight="false" outlineLevel="0" collapsed="false">
      <c r="A338" s="22" t="n">
        <v>46514</v>
      </c>
      <c r="B338" s="23" t="str">
        <f aca="false">IFERROR(INDEX(Sprint!$A$2:$A$11,MATCH(A338,Sprint!$B$2:$B$11,1)),"")</f>
        <v>S4</v>
      </c>
      <c r="C338" s="6" t="s">
        <v>62</v>
      </c>
      <c r="D338" s="6" t="s">
        <v>219</v>
      </c>
      <c r="E338" s="7" t="n">
        <v>1</v>
      </c>
      <c r="F338" s="6"/>
    </row>
    <row r="339" customFormat="false" ht="15" hidden="false" customHeight="false" outlineLevel="0" collapsed="false">
      <c r="A339" s="22" t="n">
        <v>46514</v>
      </c>
      <c r="B339" s="23" t="str">
        <f aca="false">IFERROR(INDEX(Sprint!$A$2:$A$11,MATCH(A339,Sprint!$B$2:$B$11,1)),"")</f>
        <v>S4</v>
      </c>
      <c r="C339" s="6" t="s">
        <v>37</v>
      </c>
      <c r="D339" s="6" t="s">
        <v>207</v>
      </c>
      <c r="E339" s="7" t="n">
        <v>0.5</v>
      </c>
      <c r="F339" s="6"/>
    </row>
    <row r="340" customFormat="false" ht="15" hidden="false" customHeight="false" outlineLevel="0" collapsed="false">
      <c r="A340" s="22" t="n">
        <v>46514</v>
      </c>
      <c r="B340" s="23" t="str">
        <f aca="false">IFERROR(INDEX(Sprint!$A$2:$A$11,MATCH(A340,Sprint!$B$2:$B$11,1)),"")</f>
        <v>S4</v>
      </c>
      <c r="C340" s="6" t="s">
        <v>37</v>
      </c>
      <c r="D340" s="6" t="s">
        <v>155</v>
      </c>
      <c r="E340" s="7" t="n">
        <v>0.5</v>
      </c>
      <c r="F340" s="6"/>
    </row>
    <row r="341" customFormat="false" ht="15" hidden="false" customHeight="false" outlineLevel="0" collapsed="false">
      <c r="A341" s="22" t="n">
        <v>46514</v>
      </c>
      <c r="B341" s="23" t="str">
        <f aca="false">IFERROR(INDEX(Sprint!$A$2:$A$11,MATCH(A341,Sprint!$B$2:$B$11,1)),"")</f>
        <v>S4</v>
      </c>
      <c r="C341" s="6" t="s">
        <v>49</v>
      </c>
      <c r="D341" s="6" t="s">
        <v>221</v>
      </c>
      <c r="E341" s="7" t="n">
        <v>1</v>
      </c>
      <c r="F341" s="6"/>
    </row>
    <row r="342" customFormat="false" ht="15" hidden="false" customHeight="false" outlineLevel="0" collapsed="false">
      <c r="A342" s="22" t="n">
        <v>46514</v>
      </c>
      <c r="B342" s="23" t="str">
        <f aca="false">IFERROR(INDEX(Sprint!$A$2:$A$11,MATCH(A342,Sprint!$B$2:$B$11,1)),"")</f>
        <v>S4</v>
      </c>
      <c r="C342" s="6" t="s">
        <v>44</v>
      </c>
      <c r="D342" s="6" t="s">
        <v>214</v>
      </c>
      <c r="E342" s="7" t="n">
        <v>1</v>
      </c>
      <c r="F342" s="6"/>
    </row>
    <row r="343" customFormat="false" ht="15" hidden="false" customHeight="false" outlineLevel="0" collapsed="false">
      <c r="A343" s="22" t="n">
        <v>46514</v>
      </c>
      <c r="B343" s="23" t="str">
        <f aca="false">IFERROR(INDEX(Sprint!$A$2:$A$11,MATCH(A343,Sprint!$B$2:$B$11,1)),"")</f>
        <v>S4</v>
      </c>
      <c r="C343" s="6" t="s">
        <v>47</v>
      </c>
      <c r="D343" s="6" t="s">
        <v>215</v>
      </c>
      <c r="E343" s="7" t="n">
        <v>1</v>
      </c>
      <c r="F343" s="6"/>
    </row>
    <row r="344" customFormat="false" ht="15" hidden="false" customHeight="false" outlineLevel="0" collapsed="false">
      <c r="A344" s="22" t="n">
        <v>46514</v>
      </c>
      <c r="B344" s="23" t="str">
        <f aca="false">IFERROR(INDEX(Sprint!$A$2:$A$11,MATCH(A344,Sprint!$B$2:$B$11,1)),"")</f>
        <v>S4</v>
      </c>
      <c r="C344" s="6" t="s">
        <v>41</v>
      </c>
      <c r="D344" s="6" t="s">
        <v>216</v>
      </c>
      <c r="E344" s="7" t="n">
        <v>1</v>
      </c>
      <c r="F344" s="6"/>
    </row>
    <row r="345" customFormat="false" ht="15" hidden="false" customHeight="false" outlineLevel="0" collapsed="false">
      <c r="A345" s="22" t="n">
        <v>46517</v>
      </c>
      <c r="B345" s="23" t="str">
        <f aca="false">IFERROR(INDEX(Sprint!$A$2:$A$11,MATCH(A345,Sprint!$B$2:$B$11,1)),"")</f>
        <v>S4</v>
      </c>
      <c r="C345" s="6" t="s">
        <v>56</v>
      </c>
      <c r="D345" s="6" t="s">
        <v>210</v>
      </c>
      <c r="E345" s="7" t="n">
        <v>1</v>
      </c>
      <c r="F345" s="6"/>
    </row>
    <row r="346" customFormat="false" ht="15" hidden="false" customHeight="false" outlineLevel="0" collapsed="false">
      <c r="A346" s="22" t="n">
        <v>46517</v>
      </c>
      <c r="B346" s="23" t="str">
        <f aca="false">IFERROR(INDEX(Sprint!$A$2:$A$11,MATCH(A346,Sprint!$B$2:$B$11,1)),"")</f>
        <v>S4</v>
      </c>
      <c r="C346" s="6" t="s">
        <v>58</v>
      </c>
      <c r="D346" s="6" t="s">
        <v>217</v>
      </c>
      <c r="E346" s="7" t="n">
        <v>1</v>
      </c>
      <c r="F346" s="6"/>
    </row>
    <row r="347" customFormat="false" ht="15" hidden="false" customHeight="false" outlineLevel="0" collapsed="false">
      <c r="A347" s="22" t="n">
        <v>46517</v>
      </c>
      <c r="B347" s="23" t="str">
        <f aca="false">IFERROR(INDEX(Sprint!$A$2:$A$11,MATCH(A347,Sprint!$B$2:$B$11,1)),"")</f>
        <v>S4</v>
      </c>
      <c r="C347" s="6" t="s">
        <v>60</v>
      </c>
      <c r="D347" s="6" t="s">
        <v>220</v>
      </c>
      <c r="E347" s="7" t="n">
        <v>0.5</v>
      </c>
      <c r="F347" s="6"/>
    </row>
    <row r="348" customFormat="false" ht="15" hidden="false" customHeight="false" outlineLevel="0" collapsed="false">
      <c r="A348" s="22" t="n">
        <v>46517</v>
      </c>
      <c r="B348" s="23" t="str">
        <f aca="false">IFERROR(INDEX(Sprint!$A$2:$A$11,MATCH(A348,Sprint!$B$2:$B$11,1)),"")</f>
        <v>S4</v>
      </c>
      <c r="C348" s="6" t="s">
        <v>67</v>
      </c>
      <c r="D348" s="6" t="s">
        <v>218</v>
      </c>
      <c r="E348" s="7" t="n">
        <v>1</v>
      </c>
      <c r="F348" s="6"/>
    </row>
    <row r="349" customFormat="false" ht="15" hidden="false" customHeight="false" outlineLevel="0" collapsed="false">
      <c r="A349" s="22" t="n">
        <v>46517</v>
      </c>
      <c r="B349" s="23" t="str">
        <f aca="false">IFERROR(INDEX(Sprint!$A$2:$A$11,MATCH(A349,Sprint!$B$2:$B$11,1)),"")</f>
        <v>S4</v>
      </c>
      <c r="C349" s="6" t="s">
        <v>52</v>
      </c>
      <c r="D349" s="6" t="s">
        <v>211</v>
      </c>
      <c r="E349" s="7" t="n">
        <v>1</v>
      </c>
      <c r="F349" s="6"/>
    </row>
    <row r="350" customFormat="false" ht="15" hidden="false" customHeight="false" outlineLevel="0" collapsed="false">
      <c r="A350" s="22" t="n">
        <v>46517</v>
      </c>
      <c r="B350" s="23" t="str">
        <f aca="false">IFERROR(INDEX(Sprint!$A$2:$A$11,MATCH(A350,Sprint!$B$2:$B$11,1)),"")</f>
        <v>S4</v>
      </c>
      <c r="C350" s="6" t="s">
        <v>62</v>
      </c>
      <c r="D350" s="6" t="s">
        <v>219</v>
      </c>
      <c r="E350" s="7" t="n">
        <v>1</v>
      </c>
      <c r="F350" s="6"/>
    </row>
    <row r="351" customFormat="false" ht="15" hidden="false" customHeight="false" outlineLevel="0" collapsed="false">
      <c r="A351" s="22" t="n">
        <v>46517</v>
      </c>
      <c r="B351" s="23" t="str">
        <f aca="false">IFERROR(INDEX(Sprint!$A$2:$A$11,MATCH(A351,Sprint!$B$2:$B$11,1)),"")</f>
        <v>S4</v>
      </c>
      <c r="C351" s="6" t="s">
        <v>65</v>
      </c>
      <c r="D351" s="6" t="s">
        <v>222</v>
      </c>
      <c r="E351" s="7" t="n">
        <v>1</v>
      </c>
      <c r="F351" s="6"/>
    </row>
    <row r="352" customFormat="false" ht="15" hidden="false" customHeight="false" outlineLevel="0" collapsed="false">
      <c r="A352" s="22" t="n">
        <v>46517</v>
      </c>
      <c r="B352" s="23" t="str">
        <f aca="false">IFERROR(INDEX(Sprint!$A$2:$A$11,MATCH(A352,Sprint!$B$2:$B$11,1)),"")</f>
        <v>S4</v>
      </c>
      <c r="C352" s="6" t="s">
        <v>37</v>
      </c>
      <c r="D352" s="6" t="s">
        <v>207</v>
      </c>
      <c r="E352" s="7" t="n">
        <v>0.5</v>
      </c>
      <c r="F352" s="6"/>
    </row>
    <row r="353" customFormat="false" ht="15" hidden="false" customHeight="false" outlineLevel="0" collapsed="false">
      <c r="A353" s="22" t="n">
        <v>46517</v>
      </c>
      <c r="B353" s="23" t="str">
        <f aca="false">IFERROR(INDEX(Sprint!$A$2:$A$11,MATCH(A353,Sprint!$B$2:$B$11,1)),"")</f>
        <v>S4</v>
      </c>
      <c r="C353" s="6" t="s">
        <v>37</v>
      </c>
      <c r="D353" s="6" t="s">
        <v>156</v>
      </c>
      <c r="E353" s="7" t="n">
        <v>0.25</v>
      </c>
      <c r="F353" s="6"/>
    </row>
    <row r="354" customFormat="false" ht="15" hidden="false" customHeight="false" outlineLevel="0" collapsed="false">
      <c r="A354" s="22" t="n">
        <v>46517</v>
      </c>
      <c r="B354" s="23" t="str">
        <f aca="false">IFERROR(INDEX(Sprint!$A$2:$A$11,MATCH(A354,Sprint!$B$2:$B$11,1)),"")</f>
        <v>S4</v>
      </c>
      <c r="C354" s="6" t="s">
        <v>37</v>
      </c>
      <c r="D354" s="6" t="s">
        <v>157</v>
      </c>
      <c r="E354" s="7" t="n">
        <v>0.25</v>
      </c>
      <c r="F354" s="6"/>
    </row>
    <row r="355" customFormat="false" ht="15" hidden="false" customHeight="false" outlineLevel="0" collapsed="false">
      <c r="A355" s="22" t="n">
        <v>46517</v>
      </c>
      <c r="B355" s="23" t="str">
        <f aca="false">IFERROR(INDEX(Sprint!$A$2:$A$11,MATCH(A355,Sprint!$B$2:$B$11,1)),"")</f>
        <v>S4</v>
      </c>
      <c r="C355" s="6" t="s">
        <v>49</v>
      </c>
      <c r="D355" s="6" t="s">
        <v>221</v>
      </c>
      <c r="E355" s="7" t="n">
        <v>1</v>
      </c>
      <c r="F355" s="6"/>
    </row>
    <row r="356" customFormat="false" ht="15" hidden="false" customHeight="false" outlineLevel="0" collapsed="false">
      <c r="A356" s="22" t="n">
        <v>46517</v>
      </c>
      <c r="B356" s="23" t="str">
        <f aca="false">IFERROR(INDEX(Sprint!$A$2:$A$11,MATCH(A356,Sprint!$B$2:$B$11,1)),"")</f>
        <v>S4</v>
      </c>
      <c r="C356" s="6" t="s">
        <v>44</v>
      </c>
      <c r="D356" s="6" t="s">
        <v>223</v>
      </c>
      <c r="E356" s="7" t="n">
        <v>0.25</v>
      </c>
      <c r="F356" s="6"/>
    </row>
    <row r="357" customFormat="false" ht="15" hidden="false" customHeight="false" outlineLevel="0" collapsed="false">
      <c r="A357" s="22" t="n">
        <v>46517</v>
      </c>
      <c r="B357" s="23" t="str">
        <f aca="false">IFERROR(INDEX(Sprint!$A$2:$A$11,MATCH(A357,Sprint!$B$2:$B$11,1)),"")</f>
        <v>S4</v>
      </c>
      <c r="C357" s="6" t="s">
        <v>44</v>
      </c>
      <c r="D357" s="6" t="s">
        <v>214</v>
      </c>
      <c r="E357" s="7" t="n">
        <v>0.75</v>
      </c>
      <c r="F357" s="6"/>
    </row>
    <row r="358" customFormat="false" ht="15" hidden="false" customHeight="false" outlineLevel="0" collapsed="false">
      <c r="A358" s="22" t="n">
        <v>46517</v>
      </c>
      <c r="B358" s="23" t="str">
        <f aca="false">IFERROR(INDEX(Sprint!$A$2:$A$11,MATCH(A358,Sprint!$B$2:$B$11,1)),"")</f>
        <v>S4</v>
      </c>
      <c r="C358" s="6" t="s">
        <v>47</v>
      </c>
      <c r="D358" s="6" t="s">
        <v>215</v>
      </c>
      <c r="E358" s="7" t="n">
        <v>1</v>
      </c>
      <c r="F358" s="6"/>
    </row>
    <row r="359" customFormat="false" ht="15" hidden="false" customHeight="false" outlineLevel="0" collapsed="false">
      <c r="A359" s="22" t="n">
        <v>46517</v>
      </c>
      <c r="B359" s="23" t="str">
        <f aca="false">IFERROR(INDEX(Sprint!$A$2:$A$11,MATCH(A359,Sprint!$B$2:$B$11,1)),"")</f>
        <v>S4</v>
      </c>
      <c r="C359" s="6" t="s">
        <v>41</v>
      </c>
      <c r="D359" s="6" t="s">
        <v>224</v>
      </c>
      <c r="E359" s="7" t="n">
        <v>1</v>
      </c>
      <c r="F359" s="6"/>
    </row>
    <row r="360" customFormat="false" ht="15" hidden="false" customHeight="false" outlineLevel="0" collapsed="false">
      <c r="A360" s="22" t="n">
        <v>46518</v>
      </c>
      <c r="B360" s="23" t="str">
        <f aca="false">IFERROR(INDEX(Sprint!$A$2:$A$11,MATCH(A360,Sprint!$B$2:$B$11,1)),"")</f>
        <v>S4</v>
      </c>
      <c r="C360" s="6" t="s">
        <v>56</v>
      </c>
      <c r="D360" s="6" t="s">
        <v>220</v>
      </c>
      <c r="E360" s="7" t="n">
        <v>1</v>
      </c>
      <c r="F360" s="6"/>
    </row>
    <row r="361" customFormat="false" ht="15" hidden="false" customHeight="false" outlineLevel="0" collapsed="false">
      <c r="A361" s="22" t="n">
        <v>46518</v>
      </c>
      <c r="B361" s="23" t="str">
        <f aca="false">IFERROR(INDEX(Sprint!$A$2:$A$11,MATCH(A361,Sprint!$B$2:$B$11,1)),"")</f>
        <v>S4</v>
      </c>
      <c r="C361" s="6" t="s">
        <v>58</v>
      </c>
      <c r="D361" s="6" t="s">
        <v>217</v>
      </c>
      <c r="E361" s="7" t="n">
        <v>1</v>
      </c>
      <c r="F361" s="6"/>
    </row>
    <row r="362" customFormat="false" ht="15" hidden="false" customHeight="false" outlineLevel="0" collapsed="false">
      <c r="A362" s="22" t="n">
        <v>46518</v>
      </c>
      <c r="B362" s="23" t="str">
        <f aca="false">IFERROR(INDEX(Sprint!$A$2:$A$11,MATCH(A362,Sprint!$B$2:$B$11,1)),"")</f>
        <v>S4</v>
      </c>
      <c r="C362" s="6" t="s">
        <v>60</v>
      </c>
      <c r="D362" s="6" t="s">
        <v>220</v>
      </c>
      <c r="E362" s="7" t="n">
        <v>0.5</v>
      </c>
      <c r="F362" s="6"/>
    </row>
    <row r="363" customFormat="false" ht="15" hidden="false" customHeight="false" outlineLevel="0" collapsed="false">
      <c r="A363" s="22" t="n">
        <v>46518</v>
      </c>
      <c r="B363" s="23" t="str">
        <f aca="false">IFERROR(INDEX(Sprint!$A$2:$A$11,MATCH(A363,Sprint!$B$2:$B$11,1)),"")</f>
        <v>S4</v>
      </c>
      <c r="C363" s="6" t="s">
        <v>67</v>
      </c>
      <c r="D363" s="6" t="s">
        <v>218</v>
      </c>
      <c r="E363" s="7" t="n">
        <v>1</v>
      </c>
      <c r="F363" s="6"/>
    </row>
    <row r="364" customFormat="false" ht="15" hidden="false" customHeight="false" outlineLevel="0" collapsed="false">
      <c r="A364" s="22" t="n">
        <v>46518</v>
      </c>
      <c r="B364" s="23" t="str">
        <f aca="false">IFERROR(INDEX(Sprint!$A$2:$A$11,MATCH(A364,Sprint!$B$2:$B$11,1)),"")</f>
        <v>S4</v>
      </c>
      <c r="C364" s="6" t="s">
        <v>52</v>
      </c>
      <c r="D364" s="6" t="s">
        <v>225</v>
      </c>
      <c r="E364" s="7" t="n">
        <v>1</v>
      </c>
      <c r="F364" s="6"/>
    </row>
    <row r="365" customFormat="false" ht="15" hidden="false" customHeight="false" outlineLevel="0" collapsed="false">
      <c r="A365" s="22" t="n">
        <v>46518</v>
      </c>
      <c r="B365" s="23" t="str">
        <f aca="false">IFERROR(INDEX(Sprint!$A$2:$A$11,MATCH(A365,Sprint!$B$2:$B$11,1)),"")</f>
        <v>S4</v>
      </c>
      <c r="C365" s="6" t="s">
        <v>62</v>
      </c>
      <c r="D365" s="6" t="s">
        <v>219</v>
      </c>
      <c r="E365" s="7" t="n">
        <v>1</v>
      </c>
      <c r="F365" s="6"/>
    </row>
    <row r="366" customFormat="false" ht="15" hidden="false" customHeight="false" outlineLevel="0" collapsed="false">
      <c r="A366" s="22" t="n">
        <v>46518</v>
      </c>
      <c r="B366" s="23" t="str">
        <f aca="false">IFERROR(INDEX(Sprint!$A$2:$A$11,MATCH(A366,Sprint!$B$2:$B$11,1)),"")</f>
        <v>S4</v>
      </c>
      <c r="C366" s="6" t="s">
        <v>65</v>
      </c>
      <c r="D366" s="6" t="s">
        <v>222</v>
      </c>
      <c r="E366" s="7" t="n">
        <v>1</v>
      </c>
      <c r="F366" s="6"/>
    </row>
    <row r="367" customFormat="false" ht="15" hidden="false" customHeight="false" outlineLevel="0" collapsed="false">
      <c r="A367" s="22" t="n">
        <v>46518</v>
      </c>
      <c r="B367" s="23" t="str">
        <f aca="false">IFERROR(INDEX(Sprint!$A$2:$A$11,MATCH(A367,Sprint!$B$2:$B$11,1)),"")</f>
        <v>S4</v>
      </c>
      <c r="C367" s="6" t="s">
        <v>37</v>
      </c>
      <c r="D367" s="6" t="s">
        <v>158</v>
      </c>
      <c r="E367" s="7" t="n">
        <v>0.25</v>
      </c>
      <c r="F367" s="6"/>
    </row>
    <row r="368" customFormat="false" ht="15" hidden="false" customHeight="false" outlineLevel="0" collapsed="false">
      <c r="A368" s="22" t="n">
        <v>46518</v>
      </c>
      <c r="B368" s="23" t="str">
        <f aca="false">IFERROR(INDEX(Sprint!$A$2:$A$11,MATCH(A368,Sprint!$B$2:$B$11,1)),"")</f>
        <v>S4</v>
      </c>
      <c r="C368" s="6" t="s">
        <v>37</v>
      </c>
      <c r="D368" s="6" t="s">
        <v>159</v>
      </c>
      <c r="E368" s="7" t="n">
        <v>0.25</v>
      </c>
      <c r="F368" s="6"/>
    </row>
    <row r="369" customFormat="false" ht="15" hidden="false" customHeight="false" outlineLevel="0" collapsed="false">
      <c r="A369" s="22" t="n">
        <v>46518</v>
      </c>
      <c r="B369" s="23" t="str">
        <f aca="false">IFERROR(INDEX(Sprint!$A$2:$A$11,MATCH(A369,Sprint!$B$2:$B$11,1)),"")</f>
        <v>S4</v>
      </c>
      <c r="C369" s="6" t="s">
        <v>37</v>
      </c>
      <c r="D369" s="6" t="s">
        <v>226</v>
      </c>
      <c r="E369" s="7" t="n">
        <v>0.5</v>
      </c>
      <c r="F369" s="6"/>
    </row>
    <row r="370" customFormat="false" ht="15" hidden="false" customHeight="false" outlineLevel="0" collapsed="false">
      <c r="A370" s="22" t="n">
        <v>46518</v>
      </c>
      <c r="B370" s="23" t="str">
        <f aca="false">IFERROR(INDEX(Sprint!$A$2:$A$11,MATCH(A370,Sprint!$B$2:$B$11,1)),"")</f>
        <v>S4</v>
      </c>
      <c r="C370" s="6" t="s">
        <v>49</v>
      </c>
      <c r="D370" s="6" t="s">
        <v>221</v>
      </c>
      <c r="E370" s="7" t="n">
        <v>1</v>
      </c>
      <c r="F370" s="6"/>
    </row>
    <row r="371" customFormat="false" ht="15" hidden="false" customHeight="false" outlineLevel="0" collapsed="false">
      <c r="A371" s="22" t="n">
        <v>46518</v>
      </c>
      <c r="B371" s="23" t="str">
        <f aca="false">IFERROR(INDEX(Sprint!$A$2:$A$11,MATCH(A371,Sprint!$B$2:$B$11,1)),"")</f>
        <v>S4</v>
      </c>
      <c r="C371" s="6" t="s">
        <v>44</v>
      </c>
      <c r="D371" s="6" t="s">
        <v>223</v>
      </c>
      <c r="E371" s="7" t="n">
        <v>1</v>
      </c>
      <c r="F371" s="6"/>
    </row>
    <row r="372" customFormat="false" ht="15" hidden="false" customHeight="false" outlineLevel="0" collapsed="false">
      <c r="A372" s="22" t="n">
        <v>46518</v>
      </c>
      <c r="B372" s="23" t="str">
        <f aca="false">IFERROR(INDEX(Sprint!$A$2:$A$11,MATCH(A372,Sprint!$B$2:$B$11,1)),"")</f>
        <v>S4</v>
      </c>
      <c r="C372" s="6" t="s">
        <v>47</v>
      </c>
      <c r="D372" s="6" t="s">
        <v>215</v>
      </c>
      <c r="E372" s="7" t="n">
        <v>1</v>
      </c>
      <c r="F372" s="6"/>
    </row>
    <row r="373" customFormat="false" ht="15" hidden="false" customHeight="false" outlineLevel="0" collapsed="false">
      <c r="A373" s="22" t="n">
        <v>46518</v>
      </c>
      <c r="B373" s="23" t="str">
        <f aca="false">IFERROR(INDEX(Sprint!$A$2:$A$11,MATCH(A373,Sprint!$B$2:$B$11,1)),"")</f>
        <v>S4</v>
      </c>
      <c r="C373" s="6" t="s">
        <v>41</v>
      </c>
      <c r="D373" s="6" t="s">
        <v>224</v>
      </c>
      <c r="E373" s="7" t="n">
        <v>1</v>
      </c>
      <c r="F373" s="6"/>
    </row>
    <row r="374" customFormat="false" ht="15" hidden="false" customHeight="false" outlineLevel="0" collapsed="false">
      <c r="A374" s="22" t="n">
        <v>46519</v>
      </c>
      <c r="B374" s="23" t="str">
        <f aca="false">IFERROR(INDEX(Sprint!$A$2:$A$11,MATCH(A374,Sprint!$B$2:$B$11,1)),"")</f>
        <v>S4</v>
      </c>
      <c r="C374" s="6" t="s">
        <v>56</v>
      </c>
      <c r="D374" s="6" t="s">
        <v>220</v>
      </c>
      <c r="E374" s="7" t="n">
        <v>1</v>
      </c>
      <c r="F374" s="6"/>
    </row>
    <row r="375" customFormat="false" ht="15" hidden="false" customHeight="false" outlineLevel="0" collapsed="false">
      <c r="A375" s="22" t="n">
        <v>46519</v>
      </c>
      <c r="B375" s="23" t="str">
        <f aca="false">IFERROR(INDEX(Sprint!$A$2:$A$11,MATCH(A375,Sprint!$B$2:$B$11,1)),"")</f>
        <v>S4</v>
      </c>
      <c r="C375" s="6" t="s">
        <v>58</v>
      </c>
      <c r="D375" s="6" t="s">
        <v>217</v>
      </c>
      <c r="E375" s="7" t="n">
        <v>1</v>
      </c>
      <c r="F375" s="6"/>
    </row>
    <row r="376" customFormat="false" ht="15" hidden="false" customHeight="false" outlineLevel="0" collapsed="false">
      <c r="A376" s="22" t="n">
        <v>46519</v>
      </c>
      <c r="B376" s="23" t="str">
        <f aca="false">IFERROR(INDEX(Sprint!$A$2:$A$11,MATCH(A376,Sprint!$B$2:$B$11,1)),"")</f>
        <v>S4</v>
      </c>
      <c r="C376" s="6" t="s">
        <v>60</v>
      </c>
      <c r="D376" s="6" t="s">
        <v>220</v>
      </c>
      <c r="E376" s="7" t="n">
        <v>0.5</v>
      </c>
      <c r="F376" s="6"/>
    </row>
    <row r="377" customFormat="false" ht="15" hidden="false" customHeight="false" outlineLevel="0" collapsed="false">
      <c r="A377" s="22" t="n">
        <v>46519</v>
      </c>
      <c r="B377" s="23" t="str">
        <f aca="false">IFERROR(INDEX(Sprint!$A$2:$A$11,MATCH(A377,Sprint!$B$2:$B$11,1)),"")</f>
        <v>S4</v>
      </c>
      <c r="C377" s="6" t="s">
        <v>67</v>
      </c>
      <c r="D377" s="6" t="s">
        <v>218</v>
      </c>
      <c r="E377" s="7" t="n">
        <v>1</v>
      </c>
      <c r="F377" s="6"/>
    </row>
    <row r="378" customFormat="false" ht="15" hidden="false" customHeight="false" outlineLevel="0" collapsed="false">
      <c r="A378" s="22" t="n">
        <v>46519</v>
      </c>
      <c r="B378" s="23" t="str">
        <f aca="false">IFERROR(INDEX(Sprint!$A$2:$A$11,MATCH(A378,Sprint!$B$2:$B$11,1)),"")</f>
        <v>S4</v>
      </c>
      <c r="C378" s="6" t="s">
        <v>52</v>
      </c>
      <c r="D378" s="6" t="s">
        <v>225</v>
      </c>
      <c r="E378" s="7" t="n">
        <v>1</v>
      </c>
      <c r="F378" s="6"/>
    </row>
    <row r="379" customFormat="false" ht="15" hidden="false" customHeight="false" outlineLevel="0" collapsed="false">
      <c r="A379" s="22" t="n">
        <v>46519</v>
      </c>
      <c r="B379" s="23" t="str">
        <f aca="false">IFERROR(INDEX(Sprint!$A$2:$A$11,MATCH(A379,Sprint!$B$2:$B$11,1)),"")</f>
        <v>S4</v>
      </c>
      <c r="C379" s="6" t="s">
        <v>62</v>
      </c>
      <c r="D379" s="6" t="s">
        <v>219</v>
      </c>
      <c r="E379" s="7" t="n">
        <v>1</v>
      </c>
      <c r="F379" s="6"/>
    </row>
    <row r="380" customFormat="false" ht="15" hidden="false" customHeight="false" outlineLevel="0" collapsed="false">
      <c r="A380" s="22" t="n">
        <v>46519</v>
      </c>
      <c r="B380" s="23" t="str">
        <f aca="false">IFERROR(INDEX(Sprint!$A$2:$A$11,MATCH(A380,Sprint!$B$2:$B$11,1)),"")</f>
        <v>S4</v>
      </c>
      <c r="C380" s="6" t="s">
        <v>65</v>
      </c>
      <c r="D380" s="6" t="s">
        <v>222</v>
      </c>
      <c r="E380" s="7" t="n">
        <v>1</v>
      </c>
      <c r="F380" s="6"/>
    </row>
    <row r="381" customFormat="false" ht="15" hidden="false" customHeight="false" outlineLevel="0" collapsed="false">
      <c r="A381" s="22" t="n">
        <v>46519</v>
      </c>
      <c r="B381" s="23" t="str">
        <f aca="false">IFERROR(INDEX(Sprint!$A$2:$A$11,MATCH(A381,Sprint!$B$2:$B$11,1)),"")</f>
        <v>S4</v>
      </c>
      <c r="C381" s="6" t="s">
        <v>37</v>
      </c>
      <c r="D381" s="6" t="s">
        <v>150</v>
      </c>
      <c r="E381" s="7" t="n">
        <v>0.25</v>
      </c>
      <c r="F381" s="6"/>
    </row>
    <row r="382" customFormat="false" ht="15" hidden="false" customHeight="false" outlineLevel="0" collapsed="false">
      <c r="A382" s="22" t="n">
        <v>46519</v>
      </c>
      <c r="B382" s="23" t="str">
        <f aca="false">IFERROR(INDEX(Sprint!$A$2:$A$11,MATCH(A382,Sprint!$B$2:$B$11,1)),"")</f>
        <v>S4</v>
      </c>
      <c r="C382" s="6" t="s">
        <v>37</v>
      </c>
      <c r="D382" s="6" t="s">
        <v>151</v>
      </c>
      <c r="E382" s="7" t="n">
        <v>0.25</v>
      </c>
      <c r="F382" s="6"/>
    </row>
    <row r="383" customFormat="false" ht="15" hidden="false" customHeight="false" outlineLevel="0" collapsed="false">
      <c r="A383" s="22" t="n">
        <v>46519</v>
      </c>
      <c r="B383" s="23" t="str">
        <f aca="false">IFERROR(INDEX(Sprint!$A$2:$A$11,MATCH(A383,Sprint!$B$2:$B$11,1)),"")</f>
        <v>S4</v>
      </c>
      <c r="C383" s="6" t="s">
        <v>37</v>
      </c>
      <c r="D383" s="6" t="s">
        <v>226</v>
      </c>
      <c r="E383" s="7" t="n">
        <v>0.5</v>
      </c>
      <c r="F383" s="6"/>
    </row>
    <row r="384" customFormat="false" ht="15" hidden="false" customHeight="false" outlineLevel="0" collapsed="false">
      <c r="A384" s="22" t="n">
        <v>46519</v>
      </c>
      <c r="B384" s="23" t="str">
        <f aca="false">IFERROR(INDEX(Sprint!$A$2:$A$11,MATCH(A384,Sprint!$B$2:$B$11,1)),"")</f>
        <v>S4</v>
      </c>
      <c r="C384" s="6" t="s">
        <v>49</v>
      </c>
      <c r="D384" s="6" t="s">
        <v>221</v>
      </c>
      <c r="E384" s="7" t="n">
        <v>1</v>
      </c>
      <c r="F384" s="6"/>
    </row>
    <row r="385" customFormat="false" ht="15" hidden="false" customHeight="false" outlineLevel="0" collapsed="false">
      <c r="A385" s="22" t="n">
        <v>46519</v>
      </c>
      <c r="B385" s="23" t="str">
        <f aca="false">IFERROR(INDEX(Sprint!$A$2:$A$11,MATCH(A385,Sprint!$B$2:$B$11,1)),"")</f>
        <v>S4</v>
      </c>
      <c r="C385" s="6" t="s">
        <v>44</v>
      </c>
      <c r="D385" s="6" t="s">
        <v>223</v>
      </c>
      <c r="E385" s="7" t="n">
        <v>1</v>
      </c>
      <c r="F385" s="6"/>
    </row>
    <row r="386" customFormat="false" ht="15" hidden="false" customHeight="false" outlineLevel="0" collapsed="false">
      <c r="A386" s="22" t="n">
        <v>46519</v>
      </c>
      <c r="B386" s="23" t="str">
        <f aca="false">IFERROR(INDEX(Sprint!$A$2:$A$11,MATCH(A386,Sprint!$B$2:$B$11,1)),"")</f>
        <v>S4</v>
      </c>
      <c r="C386" s="6" t="s">
        <v>47</v>
      </c>
      <c r="D386" s="6" t="s">
        <v>215</v>
      </c>
      <c r="E386" s="7" t="n">
        <v>1</v>
      </c>
      <c r="F386" s="6"/>
    </row>
    <row r="387" customFormat="false" ht="15" hidden="false" customHeight="false" outlineLevel="0" collapsed="false">
      <c r="A387" s="22" t="n">
        <v>46519</v>
      </c>
      <c r="B387" s="23" t="str">
        <f aca="false">IFERROR(INDEX(Sprint!$A$2:$A$11,MATCH(A387,Sprint!$B$2:$B$11,1)),"")</f>
        <v>S4</v>
      </c>
      <c r="C387" s="6" t="s">
        <v>41</v>
      </c>
      <c r="D387" s="6" t="s">
        <v>224</v>
      </c>
      <c r="E387" s="7" t="n">
        <v>1</v>
      </c>
      <c r="F387" s="6"/>
    </row>
    <row r="388" customFormat="false" ht="15" hidden="false" customHeight="false" outlineLevel="0" collapsed="false">
      <c r="A388" s="22" t="n">
        <v>46520</v>
      </c>
      <c r="B388" s="23" t="str">
        <f aca="false">IFERROR(INDEX(Sprint!$A$2:$A$11,MATCH(A388,Sprint!$B$2:$B$11,1)),"")</f>
        <v>S4</v>
      </c>
      <c r="C388" s="6" t="s">
        <v>56</v>
      </c>
      <c r="D388" s="6" t="s">
        <v>227</v>
      </c>
      <c r="E388" s="7" t="n">
        <v>0.5</v>
      </c>
      <c r="F388" s="6"/>
    </row>
    <row r="389" customFormat="false" ht="15" hidden="false" customHeight="false" outlineLevel="0" collapsed="false">
      <c r="A389" s="22" t="n">
        <v>46520</v>
      </c>
      <c r="B389" s="23" t="str">
        <f aca="false">IFERROR(INDEX(Sprint!$A$2:$A$11,MATCH(A389,Sprint!$B$2:$B$11,1)),"")</f>
        <v>S4</v>
      </c>
      <c r="C389" s="6" t="s">
        <v>56</v>
      </c>
      <c r="D389" s="6" t="s">
        <v>220</v>
      </c>
      <c r="E389" s="7" t="n">
        <v>0.5</v>
      </c>
      <c r="F389" s="6"/>
    </row>
    <row r="390" customFormat="false" ht="15" hidden="false" customHeight="false" outlineLevel="0" collapsed="false">
      <c r="A390" s="22" t="n">
        <v>46520</v>
      </c>
      <c r="B390" s="23" t="str">
        <f aca="false">IFERROR(INDEX(Sprint!$A$2:$A$11,MATCH(A390,Sprint!$B$2:$B$11,1)),"")</f>
        <v>S4</v>
      </c>
      <c r="C390" s="6" t="s">
        <v>58</v>
      </c>
      <c r="D390" s="6" t="s">
        <v>227</v>
      </c>
      <c r="E390" s="7" t="n">
        <v>0.5</v>
      </c>
      <c r="F390" s="6"/>
    </row>
    <row r="391" customFormat="false" ht="15" hidden="false" customHeight="false" outlineLevel="0" collapsed="false">
      <c r="A391" s="22" t="n">
        <v>46520</v>
      </c>
      <c r="B391" s="23" t="str">
        <f aca="false">IFERROR(INDEX(Sprint!$A$2:$A$11,MATCH(A391,Sprint!$B$2:$B$11,1)),"")</f>
        <v>S4</v>
      </c>
      <c r="C391" s="6" t="s">
        <v>58</v>
      </c>
      <c r="D391" s="6" t="s">
        <v>217</v>
      </c>
      <c r="E391" s="7" t="n">
        <v>0.5</v>
      </c>
      <c r="F391" s="6"/>
    </row>
    <row r="392" customFormat="false" ht="15" hidden="false" customHeight="false" outlineLevel="0" collapsed="false">
      <c r="A392" s="22" t="n">
        <v>46520</v>
      </c>
      <c r="B392" s="23" t="str">
        <f aca="false">IFERROR(INDEX(Sprint!$A$2:$A$11,MATCH(A392,Sprint!$B$2:$B$11,1)),"")</f>
        <v>S4</v>
      </c>
      <c r="C392" s="6" t="s">
        <v>67</v>
      </c>
      <c r="D392" s="6" t="s">
        <v>218</v>
      </c>
      <c r="E392" s="7" t="n">
        <v>0.25</v>
      </c>
      <c r="F392" s="6"/>
    </row>
    <row r="393" customFormat="false" ht="15" hidden="false" customHeight="false" outlineLevel="0" collapsed="false">
      <c r="A393" s="22" t="n">
        <v>46520</v>
      </c>
      <c r="B393" s="23" t="str">
        <f aca="false">IFERROR(INDEX(Sprint!$A$2:$A$11,MATCH(A393,Sprint!$B$2:$B$11,1)),"")</f>
        <v>S4</v>
      </c>
      <c r="C393" s="6" t="s">
        <v>52</v>
      </c>
      <c r="D393" s="6" t="s">
        <v>225</v>
      </c>
      <c r="E393" s="7" t="n">
        <v>1</v>
      </c>
      <c r="F393" s="6"/>
    </row>
    <row r="394" customFormat="false" ht="15" hidden="false" customHeight="false" outlineLevel="0" collapsed="false">
      <c r="A394" s="22" t="n">
        <v>46520</v>
      </c>
      <c r="B394" s="23" t="str">
        <f aca="false">IFERROR(INDEX(Sprint!$A$2:$A$11,MATCH(A394,Sprint!$B$2:$B$11,1)),"")</f>
        <v>S4</v>
      </c>
      <c r="C394" s="6" t="s">
        <v>62</v>
      </c>
      <c r="D394" s="6" t="s">
        <v>219</v>
      </c>
      <c r="E394" s="7" t="n">
        <v>1</v>
      </c>
      <c r="F394" s="6"/>
    </row>
    <row r="395" customFormat="false" ht="15" hidden="false" customHeight="false" outlineLevel="0" collapsed="false">
      <c r="A395" s="22" t="n">
        <v>46520</v>
      </c>
      <c r="B395" s="23" t="str">
        <f aca="false">IFERROR(INDEX(Sprint!$A$2:$A$11,MATCH(A395,Sprint!$B$2:$B$11,1)),"")</f>
        <v>S4</v>
      </c>
      <c r="C395" s="6" t="s">
        <v>65</v>
      </c>
      <c r="D395" s="6" t="s">
        <v>228</v>
      </c>
      <c r="E395" s="7" t="n">
        <v>0.75</v>
      </c>
      <c r="F395" s="6"/>
    </row>
    <row r="396" customFormat="false" ht="15" hidden="false" customHeight="false" outlineLevel="0" collapsed="false">
      <c r="A396" s="22" t="n">
        <v>46520</v>
      </c>
      <c r="B396" s="23" t="str">
        <f aca="false">IFERROR(INDEX(Sprint!$A$2:$A$11,MATCH(A396,Sprint!$B$2:$B$11,1)),"")</f>
        <v>S4</v>
      </c>
      <c r="C396" s="6" t="s">
        <v>65</v>
      </c>
      <c r="D396" s="6" t="s">
        <v>222</v>
      </c>
      <c r="E396" s="7" t="n">
        <v>0.25</v>
      </c>
      <c r="F396" s="6"/>
    </row>
    <row r="397" customFormat="false" ht="15" hidden="false" customHeight="false" outlineLevel="0" collapsed="false">
      <c r="A397" s="22" t="n">
        <v>46520</v>
      </c>
      <c r="B397" s="23" t="str">
        <f aca="false">IFERROR(INDEX(Sprint!$A$2:$A$11,MATCH(A397,Sprint!$B$2:$B$11,1)),"")</f>
        <v>S4</v>
      </c>
      <c r="C397" s="6" t="s">
        <v>37</v>
      </c>
      <c r="D397" s="6" t="s">
        <v>154</v>
      </c>
      <c r="E397" s="7" t="n">
        <v>0.25</v>
      </c>
      <c r="F397" s="6"/>
    </row>
    <row r="398" customFormat="false" ht="15" hidden="false" customHeight="false" outlineLevel="0" collapsed="false">
      <c r="A398" s="22" t="n">
        <v>46520</v>
      </c>
      <c r="B398" s="23" t="str">
        <f aca="false">IFERROR(INDEX(Sprint!$A$2:$A$11,MATCH(A398,Sprint!$B$2:$B$11,1)),"")</f>
        <v>S4</v>
      </c>
      <c r="C398" s="6" t="s">
        <v>37</v>
      </c>
      <c r="D398" s="6" t="s">
        <v>155</v>
      </c>
      <c r="E398" s="7" t="n">
        <v>0.25</v>
      </c>
      <c r="F398" s="6"/>
    </row>
    <row r="399" customFormat="false" ht="15" hidden="false" customHeight="false" outlineLevel="0" collapsed="false">
      <c r="A399" s="22" t="n">
        <v>46520</v>
      </c>
      <c r="B399" s="23" t="str">
        <f aca="false">IFERROR(INDEX(Sprint!$A$2:$A$11,MATCH(A399,Sprint!$B$2:$B$11,1)),"")</f>
        <v>S4</v>
      </c>
      <c r="C399" s="6" t="s">
        <v>37</v>
      </c>
      <c r="D399" s="6" t="s">
        <v>156</v>
      </c>
      <c r="E399" s="7" t="n">
        <v>0.25</v>
      </c>
      <c r="F399" s="6"/>
    </row>
    <row r="400" customFormat="false" ht="15" hidden="false" customHeight="false" outlineLevel="0" collapsed="false">
      <c r="A400" s="22" t="n">
        <v>46520</v>
      </c>
      <c r="B400" s="23" t="str">
        <f aca="false">IFERROR(INDEX(Sprint!$A$2:$A$11,MATCH(A400,Sprint!$B$2:$B$11,1)),"")</f>
        <v>S4</v>
      </c>
      <c r="C400" s="6" t="s">
        <v>37</v>
      </c>
      <c r="D400" s="6" t="s">
        <v>226</v>
      </c>
      <c r="E400" s="7" t="n">
        <v>0.25</v>
      </c>
      <c r="F400" s="6"/>
    </row>
    <row r="401" customFormat="false" ht="15" hidden="false" customHeight="false" outlineLevel="0" collapsed="false">
      <c r="A401" s="22" t="n">
        <v>46520</v>
      </c>
      <c r="B401" s="23" t="str">
        <f aca="false">IFERROR(INDEX(Sprint!$A$2:$A$11,MATCH(A401,Sprint!$B$2:$B$11,1)),"")</f>
        <v>S4</v>
      </c>
      <c r="C401" s="6" t="s">
        <v>49</v>
      </c>
      <c r="D401" s="6" t="s">
        <v>221</v>
      </c>
      <c r="E401" s="7" t="n">
        <v>1</v>
      </c>
      <c r="F401" s="6"/>
    </row>
    <row r="402" customFormat="false" ht="15" hidden="false" customHeight="false" outlineLevel="0" collapsed="false">
      <c r="A402" s="22" t="n">
        <v>46520</v>
      </c>
      <c r="B402" s="23" t="str">
        <f aca="false">IFERROR(INDEX(Sprint!$A$2:$A$11,MATCH(A402,Sprint!$B$2:$B$11,1)),"")</f>
        <v>S4</v>
      </c>
      <c r="C402" s="6" t="s">
        <v>44</v>
      </c>
      <c r="D402" s="6" t="s">
        <v>223</v>
      </c>
      <c r="E402" s="7" t="n">
        <v>0.75</v>
      </c>
      <c r="F402" s="6"/>
    </row>
    <row r="403" customFormat="false" ht="15" hidden="false" customHeight="false" outlineLevel="0" collapsed="false">
      <c r="A403" s="22" t="n">
        <v>46520</v>
      </c>
      <c r="B403" s="23" t="str">
        <f aca="false">IFERROR(INDEX(Sprint!$A$2:$A$11,MATCH(A403,Sprint!$B$2:$B$11,1)),"")</f>
        <v>S4</v>
      </c>
      <c r="C403" s="6" t="s">
        <v>47</v>
      </c>
      <c r="D403" s="6" t="s">
        <v>223</v>
      </c>
      <c r="E403" s="7" t="n">
        <v>0.75</v>
      </c>
      <c r="F403" s="6"/>
    </row>
    <row r="404" customFormat="false" ht="15" hidden="false" customHeight="false" outlineLevel="0" collapsed="false">
      <c r="A404" s="22" t="n">
        <v>46520</v>
      </c>
      <c r="B404" s="23" t="str">
        <f aca="false">IFERROR(INDEX(Sprint!$A$2:$A$11,MATCH(A404,Sprint!$B$2:$B$11,1)),"")</f>
        <v>S4</v>
      </c>
      <c r="C404" s="6" t="s">
        <v>47</v>
      </c>
      <c r="D404" s="6" t="s">
        <v>215</v>
      </c>
      <c r="E404" s="7" t="n">
        <v>0.25</v>
      </c>
      <c r="F404" s="6"/>
    </row>
    <row r="405" customFormat="false" ht="15" hidden="false" customHeight="false" outlineLevel="0" collapsed="false">
      <c r="A405" s="22" t="n">
        <v>46520</v>
      </c>
      <c r="B405" s="23" t="str">
        <f aca="false">IFERROR(INDEX(Sprint!$A$2:$A$11,MATCH(A405,Sprint!$B$2:$B$11,1)),"")</f>
        <v>S4</v>
      </c>
      <c r="C405" s="6" t="s">
        <v>41</v>
      </c>
      <c r="D405" s="6" t="s">
        <v>224</v>
      </c>
      <c r="E405" s="7" t="n">
        <v>1</v>
      </c>
      <c r="F405" s="6"/>
    </row>
    <row r="406" customFormat="false" ht="15" hidden="false" customHeight="false" outlineLevel="0" collapsed="false">
      <c r="A406" s="22" t="n">
        <v>46521</v>
      </c>
      <c r="B406" s="23" t="str">
        <f aca="false">IFERROR(INDEX(Sprint!$A$2:$A$11,MATCH(A406,Sprint!$B$2:$B$11,1)),"")</f>
        <v>S4</v>
      </c>
      <c r="C406" s="6" t="s">
        <v>56</v>
      </c>
      <c r="D406" s="6" t="s">
        <v>227</v>
      </c>
      <c r="E406" s="7" t="n">
        <v>0.5</v>
      </c>
      <c r="F406" s="6"/>
    </row>
    <row r="407" customFormat="false" ht="15" hidden="false" customHeight="false" outlineLevel="0" collapsed="false">
      <c r="A407" s="22" t="n">
        <v>46521</v>
      </c>
      <c r="B407" s="23" t="str">
        <f aca="false">IFERROR(INDEX(Sprint!$A$2:$A$11,MATCH(A407,Sprint!$B$2:$B$11,1)),"")</f>
        <v>S4</v>
      </c>
      <c r="C407" s="6" t="s">
        <v>58</v>
      </c>
      <c r="D407" s="6" t="s">
        <v>229</v>
      </c>
      <c r="E407" s="7" t="n">
        <v>1</v>
      </c>
      <c r="F407" s="6"/>
    </row>
    <row r="408" customFormat="false" ht="15" hidden="false" customHeight="false" outlineLevel="0" collapsed="false">
      <c r="A408" s="22" t="n">
        <v>46521</v>
      </c>
      <c r="B408" s="23" t="str">
        <f aca="false">IFERROR(INDEX(Sprint!$A$2:$A$11,MATCH(A408,Sprint!$B$2:$B$11,1)),"")</f>
        <v>S4</v>
      </c>
      <c r="C408" s="6" t="s">
        <v>60</v>
      </c>
      <c r="D408" s="6" t="s">
        <v>230</v>
      </c>
      <c r="E408" s="7" t="n">
        <v>1</v>
      </c>
      <c r="F408" s="6"/>
    </row>
    <row r="409" customFormat="false" ht="15" hidden="false" customHeight="false" outlineLevel="0" collapsed="false">
      <c r="A409" s="22" t="n">
        <v>46521</v>
      </c>
      <c r="B409" s="23" t="str">
        <f aca="false">IFERROR(INDEX(Sprint!$A$2:$A$11,MATCH(A409,Sprint!$B$2:$B$11,1)),"")</f>
        <v>S4</v>
      </c>
      <c r="C409" s="6" t="s">
        <v>67</v>
      </c>
      <c r="D409" s="6" t="s">
        <v>231</v>
      </c>
      <c r="E409" s="7" t="n">
        <v>1</v>
      </c>
      <c r="F409" s="6"/>
    </row>
    <row r="410" customFormat="false" ht="15" hidden="false" customHeight="false" outlineLevel="0" collapsed="false">
      <c r="A410" s="22" t="n">
        <v>46521</v>
      </c>
      <c r="B410" s="23" t="str">
        <f aca="false">IFERROR(INDEX(Sprint!$A$2:$A$11,MATCH(A410,Sprint!$B$2:$B$11,1)),"")</f>
        <v>S4</v>
      </c>
      <c r="C410" s="6" t="s">
        <v>52</v>
      </c>
      <c r="D410" s="6" t="s">
        <v>225</v>
      </c>
      <c r="E410" s="7" t="n">
        <v>1</v>
      </c>
      <c r="F410" s="6"/>
    </row>
    <row r="411" customFormat="false" ht="15" hidden="false" customHeight="false" outlineLevel="0" collapsed="false">
      <c r="A411" s="22" t="n">
        <v>46521</v>
      </c>
      <c r="B411" s="23" t="str">
        <f aca="false">IFERROR(INDEX(Sprint!$A$2:$A$11,MATCH(A411,Sprint!$B$2:$B$11,1)),"")</f>
        <v>S4</v>
      </c>
      <c r="C411" s="6" t="s">
        <v>62</v>
      </c>
      <c r="D411" s="6" t="s">
        <v>219</v>
      </c>
      <c r="E411" s="7" t="n">
        <v>1</v>
      </c>
      <c r="F411" s="6"/>
    </row>
    <row r="412" customFormat="false" ht="15" hidden="false" customHeight="false" outlineLevel="0" collapsed="false">
      <c r="A412" s="22" t="n">
        <v>46521</v>
      </c>
      <c r="B412" s="23" t="str">
        <f aca="false">IFERROR(INDEX(Sprint!$A$2:$A$11,MATCH(A412,Sprint!$B$2:$B$11,1)),"")</f>
        <v>S4</v>
      </c>
      <c r="C412" s="6" t="s">
        <v>65</v>
      </c>
      <c r="D412" s="6" t="s">
        <v>232</v>
      </c>
      <c r="E412" s="7" t="n">
        <v>1</v>
      </c>
      <c r="F412" s="6"/>
    </row>
    <row r="413" customFormat="false" ht="15" hidden="false" customHeight="false" outlineLevel="0" collapsed="false">
      <c r="A413" s="22" t="n">
        <v>46521</v>
      </c>
      <c r="B413" s="23" t="str">
        <f aca="false">IFERROR(INDEX(Sprint!$A$2:$A$11,MATCH(A413,Sprint!$B$2:$B$11,1)),"")</f>
        <v>S4</v>
      </c>
      <c r="C413" s="6" t="s">
        <v>37</v>
      </c>
      <c r="D413" s="6" t="s">
        <v>157</v>
      </c>
      <c r="E413" s="7" t="n">
        <v>0.25</v>
      </c>
      <c r="F413" s="6"/>
    </row>
    <row r="414" customFormat="false" ht="15" hidden="false" customHeight="false" outlineLevel="0" collapsed="false">
      <c r="A414" s="22" t="n">
        <v>46521</v>
      </c>
      <c r="B414" s="23" t="str">
        <f aca="false">IFERROR(INDEX(Sprint!$A$2:$A$11,MATCH(A414,Sprint!$B$2:$B$11,1)),"")</f>
        <v>S4</v>
      </c>
      <c r="C414" s="6" t="s">
        <v>37</v>
      </c>
      <c r="D414" s="6" t="s">
        <v>158</v>
      </c>
      <c r="E414" s="7" t="n">
        <v>0.25</v>
      </c>
      <c r="F414" s="6"/>
    </row>
    <row r="415" customFormat="false" ht="15" hidden="false" customHeight="false" outlineLevel="0" collapsed="false">
      <c r="A415" s="22" t="n">
        <v>46521</v>
      </c>
      <c r="B415" s="23" t="str">
        <f aca="false">IFERROR(INDEX(Sprint!$A$2:$A$11,MATCH(A415,Sprint!$B$2:$B$11,1)),"")</f>
        <v>S4</v>
      </c>
      <c r="C415" s="6" t="s">
        <v>37</v>
      </c>
      <c r="D415" s="6" t="s">
        <v>226</v>
      </c>
      <c r="E415" s="7" t="n">
        <v>0.5</v>
      </c>
      <c r="F415" s="6"/>
    </row>
    <row r="416" customFormat="false" ht="15" hidden="false" customHeight="false" outlineLevel="0" collapsed="false">
      <c r="A416" s="22" t="n">
        <v>46521</v>
      </c>
      <c r="B416" s="23" t="str">
        <f aca="false">IFERROR(INDEX(Sprint!$A$2:$A$11,MATCH(A416,Sprint!$B$2:$B$11,1)),"")</f>
        <v>S4</v>
      </c>
      <c r="C416" s="6" t="s">
        <v>49</v>
      </c>
      <c r="D416" s="6" t="s">
        <v>221</v>
      </c>
      <c r="E416" s="7" t="n">
        <v>1</v>
      </c>
      <c r="F416" s="6"/>
    </row>
    <row r="417" customFormat="false" ht="15" hidden="false" customHeight="false" outlineLevel="0" collapsed="false">
      <c r="A417" s="22" t="n">
        <v>46521</v>
      </c>
      <c r="B417" s="23" t="str">
        <f aca="false">IFERROR(INDEX(Sprint!$A$2:$A$11,MATCH(A417,Sprint!$B$2:$B$11,1)),"")</f>
        <v>S4</v>
      </c>
      <c r="C417" s="6" t="s">
        <v>44</v>
      </c>
      <c r="D417" s="6" t="s">
        <v>233</v>
      </c>
      <c r="E417" s="7" t="n">
        <v>1</v>
      </c>
      <c r="F417" s="6"/>
    </row>
    <row r="418" customFormat="false" ht="15" hidden="false" customHeight="false" outlineLevel="0" collapsed="false">
      <c r="A418" s="22" t="n">
        <v>46521</v>
      </c>
      <c r="B418" s="23" t="str">
        <f aca="false">IFERROR(INDEX(Sprint!$A$2:$A$11,MATCH(A418,Sprint!$B$2:$B$11,1)),"")</f>
        <v>S4</v>
      </c>
      <c r="C418" s="6" t="s">
        <v>47</v>
      </c>
      <c r="D418" s="6" t="s">
        <v>223</v>
      </c>
      <c r="E418" s="7" t="n">
        <v>1</v>
      </c>
      <c r="F418" s="6"/>
    </row>
    <row r="419" customFormat="false" ht="15" hidden="false" customHeight="false" outlineLevel="0" collapsed="false">
      <c r="A419" s="22" t="n">
        <v>46521</v>
      </c>
      <c r="B419" s="23" t="str">
        <f aca="false">IFERROR(INDEX(Sprint!$A$2:$A$11,MATCH(A419,Sprint!$B$2:$B$11,1)),"")</f>
        <v>S4</v>
      </c>
      <c r="C419" s="6" t="s">
        <v>41</v>
      </c>
      <c r="D419" s="6" t="s">
        <v>224</v>
      </c>
      <c r="E419" s="7" t="n">
        <v>1</v>
      </c>
      <c r="F419" s="6"/>
    </row>
    <row r="420" customFormat="false" ht="15" hidden="false" customHeight="false" outlineLevel="0" collapsed="false">
      <c r="A420" s="22" t="n">
        <v>46524</v>
      </c>
      <c r="B420" s="23" t="str">
        <f aca="false">IFERROR(INDEX(Sprint!$A$2:$A$11,MATCH(A420,Sprint!$B$2:$B$11,1)),"")</f>
        <v>S4</v>
      </c>
      <c r="C420" s="6" t="s">
        <v>56</v>
      </c>
      <c r="D420" s="6" t="s">
        <v>227</v>
      </c>
      <c r="E420" s="7" t="n">
        <v>0.5</v>
      </c>
      <c r="F420" s="6"/>
    </row>
    <row r="421" customFormat="false" ht="15" hidden="false" customHeight="false" outlineLevel="0" collapsed="false">
      <c r="A421" s="22" t="n">
        <v>46524</v>
      </c>
      <c r="B421" s="23" t="str">
        <f aca="false">IFERROR(INDEX(Sprint!$A$2:$A$11,MATCH(A421,Sprint!$B$2:$B$11,1)),"")</f>
        <v>S4</v>
      </c>
      <c r="C421" s="6" t="s">
        <v>58</v>
      </c>
      <c r="D421" s="6" t="s">
        <v>229</v>
      </c>
      <c r="E421" s="7" t="n">
        <v>1</v>
      </c>
      <c r="F421" s="6"/>
    </row>
    <row r="422" customFormat="false" ht="15" hidden="false" customHeight="false" outlineLevel="0" collapsed="false">
      <c r="A422" s="22" t="n">
        <v>46524</v>
      </c>
      <c r="B422" s="23" t="str">
        <f aca="false">IFERROR(INDEX(Sprint!$A$2:$A$11,MATCH(A422,Sprint!$B$2:$B$11,1)),"")</f>
        <v>S4</v>
      </c>
      <c r="C422" s="6" t="s">
        <v>60</v>
      </c>
      <c r="D422" s="6" t="s">
        <v>230</v>
      </c>
      <c r="E422" s="7" t="n">
        <v>1</v>
      </c>
      <c r="F422" s="6"/>
    </row>
    <row r="423" customFormat="false" ht="15" hidden="false" customHeight="false" outlineLevel="0" collapsed="false">
      <c r="A423" s="22" t="n">
        <v>46524</v>
      </c>
      <c r="B423" s="23" t="str">
        <f aca="false">IFERROR(INDEX(Sprint!$A$2:$A$11,MATCH(A423,Sprint!$B$2:$B$11,1)),"")</f>
        <v>S4</v>
      </c>
      <c r="C423" s="6" t="s">
        <v>67</v>
      </c>
      <c r="D423" s="6" t="s">
        <v>231</v>
      </c>
      <c r="E423" s="7" t="n">
        <v>1</v>
      </c>
      <c r="F423" s="6"/>
    </row>
    <row r="424" customFormat="false" ht="15" hidden="false" customHeight="false" outlineLevel="0" collapsed="false">
      <c r="A424" s="22" t="n">
        <v>46524</v>
      </c>
      <c r="B424" s="23" t="str">
        <f aca="false">IFERROR(INDEX(Sprint!$A$2:$A$11,MATCH(A424,Sprint!$B$2:$B$11,1)),"")</f>
        <v>S4</v>
      </c>
      <c r="C424" s="6" t="s">
        <v>52</v>
      </c>
      <c r="D424" s="6" t="s">
        <v>225</v>
      </c>
      <c r="E424" s="7" t="n">
        <v>1</v>
      </c>
      <c r="F424" s="6"/>
    </row>
    <row r="425" customFormat="false" ht="15" hidden="false" customHeight="false" outlineLevel="0" collapsed="false">
      <c r="A425" s="22" t="n">
        <v>46524</v>
      </c>
      <c r="B425" s="23" t="str">
        <f aca="false">IFERROR(INDEX(Sprint!$A$2:$A$11,MATCH(A425,Sprint!$B$2:$B$11,1)),"")</f>
        <v>S4</v>
      </c>
      <c r="C425" s="6" t="s">
        <v>62</v>
      </c>
      <c r="D425" s="6" t="s">
        <v>219</v>
      </c>
      <c r="E425" s="7" t="n">
        <v>1</v>
      </c>
      <c r="F425" s="6"/>
    </row>
    <row r="426" customFormat="false" ht="15" hidden="false" customHeight="false" outlineLevel="0" collapsed="false">
      <c r="A426" s="22" t="n">
        <v>46524</v>
      </c>
      <c r="B426" s="23" t="str">
        <f aca="false">IFERROR(INDEX(Sprint!$A$2:$A$11,MATCH(A426,Sprint!$B$2:$B$11,1)),"")</f>
        <v>S4</v>
      </c>
      <c r="C426" s="6" t="s">
        <v>65</v>
      </c>
      <c r="D426" s="6" t="s">
        <v>232</v>
      </c>
      <c r="E426" s="7" t="n">
        <v>1</v>
      </c>
      <c r="F426" s="6"/>
    </row>
    <row r="427" customFormat="false" ht="15" hidden="false" customHeight="false" outlineLevel="0" collapsed="false">
      <c r="A427" s="22" t="n">
        <v>46524</v>
      </c>
      <c r="B427" s="23" t="str">
        <f aca="false">IFERROR(INDEX(Sprint!$A$2:$A$11,MATCH(A427,Sprint!$B$2:$B$11,1)),"")</f>
        <v>S4</v>
      </c>
      <c r="C427" s="6" t="s">
        <v>37</v>
      </c>
      <c r="D427" s="6" t="s">
        <v>159</v>
      </c>
      <c r="E427" s="7" t="n">
        <v>0.25</v>
      </c>
      <c r="F427" s="6"/>
    </row>
    <row r="428" customFormat="false" ht="15" hidden="false" customHeight="false" outlineLevel="0" collapsed="false">
      <c r="A428" s="22" t="n">
        <v>46524</v>
      </c>
      <c r="B428" s="23" t="str">
        <f aca="false">IFERROR(INDEX(Sprint!$A$2:$A$11,MATCH(A428,Sprint!$B$2:$B$11,1)),"")</f>
        <v>S4</v>
      </c>
      <c r="C428" s="6" t="s">
        <v>37</v>
      </c>
      <c r="D428" s="6" t="s">
        <v>234</v>
      </c>
      <c r="E428" s="7" t="n">
        <v>0.5</v>
      </c>
      <c r="F428" s="6"/>
    </row>
    <row r="429" customFormat="false" ht="15" hidden="false" customHeight="false" outlineLevel="0" collapsed="false">
      <c r="A429" s="22" t="n">
        <v>46524</v>
      </c>
      <c r="B429" s="23" t="str">
        <f aca="false">IFERROR(INDEX(Sprint!$A$2:$A$11,MATCH(A429,Sprint!$B$2:$B$11,1)),"")</f>
        <v>S4</v>
      </c>
      <c r="C429" s="6" t="s">
        <v>37</v>
      </c>
      <c r="D429" s="6" t="s">
        <v>226</v>
      </c>
      <c r="E429" s="7" t="n">
        <v>0.25</v>
      </c>
      <c r="F429" s="6"/>
    </row>
    <row r="430" customFormat="false" ht="15" hidden="false" customHeight="false" outlineLevel="0" collapsed="false">
      <c r="A430" s="22" t="n">
        <v>46524</v>
      </c>
      <c r="B430" s="23" t="str">
        <f aca="false">IFERROR(INDEX(Sprint!$A$2:$A$11,MATCH(A430,Sprint!$B$2:$B$11,1)),"")</f>
        <v>S4</v>
      </c>
      <c r="C430" s="6" t="s">
        <v>44</v>
      </c>
      <c r="D430" s="6" t="s">
        <v>235</v>
      </c>
      <c r="E430" s="7" t="n">
        <v>0.75</v>
      </c>
      <c r="F430" s="6"/>
    </row>
    <row r="431" customFormat="false" ht="15" hidden="false" customHeight="false" outlineLevel="0" collapsed="false">
      <c r="A431" s="22" t="n">
        <v>46524</v>
      </c>
      <c r="B431" s="23" t="str">
        <f aca="false">IFERROR(INDEX(Sprint!$A$2:$A$11,MATCH(A431,Sprint!$B$2:$B$11,1)),"")</f>
        <v>S4</v>
      </c>
      <c r="C431" s="6" t="s">
        <v>44</v>
      </c>
      <c r="D431" s="6" t="s">
        <v>233</v>
      </c>
      <c r="E431" s="7" t="n">
        <v>0.25</v>
      </c>
      <c r="F431" s="6"/>
    </row>
    <row r="432" customFormat="false" ht="15" hidden="false" customHeight="false" outlineLevel="0" collapsed="false">
      <c r="A432" s="22" t="n">
        <v>46524</v>
      </c>
      <c r="B432" s="23" t="str">
        <f aca="false">IFERROR(INDEX(Sprint!$A$2:$A$11,MATCH(A432,Sprint!$B$2:$B$11,1)),"")</f>
        <v>S4</v>
      </c>
      <c r="C432" s="6" t="s">
        <v>47</v>
      </c>
      <c r="D432" s="6" t="s">
        <v>223</v>
      </c>
      <c r="E432" s="7" t="n">
        <v>1</v>
      </c>
      <c r="F432" s="6"/>
    </row>
    <row r="433" customFormat="false" ht="15" hidden="false" customHeight="false" outlineLevel="0" collapsed="false">
      <c r="A433" s="22" t="n">
        <v>46524</v>
      </c>
      <c r="B433" s="23" t="str">
        <f aca="false">IFERROR(INDEX(Sprint!$A$2:$A$11,MATCH(A433,Sprint!$B$2:$B$11,1)),"")</f>
        <v>S4</v>
      </c>
      <c r="C433" s="6" t="s">
        <v>41</v>
      </c>
      <c r="D433" s="6" t="s">
        <v>236</v>
      </c>
      <c r="E433" s="7" t="n">
        <v>1</v>
      </c>
      <c r="F433" s="6"/>
    </row>
    <row r="434" customFormat="false" ht="15" hidden="false" customHeight="false" outlineLevel="0" collapsed="false">
      <c r="A434" s="22" t="n">
        <v>46525</v>
      </c>
      <c r="B434" s="23" t="str">
        <f aca="false">IFERROR(INDEX(Sprint!$A$2:$A$11,MATCH(A434,Sprint!$B$2:$B$11,1)),"")</f>
        <v>S4</v>
      </c>
      <c r="C434" s="6" t="s">
        <v>56</v>
      </c>
      <c r="D434" s="6" t="s">
        <v>227</v>
      </c>
      <c r="E434" s="7" t="n">
        <v>0.25</v>
      </c>
      <c r="F434" s="6"/>
    </row>
    <row r="435" customFormat="false" ht="15" hidden="false" customHeight="false" outlineLevel="0" collapsed="false">
      <c r="A435" s="22" t="n">
        <v>46525</v>
      </c>
      <c r="B435" s="23" t="str">
        <f aca="false">IFERROR(INDEX(Sprint!$A$2:$A$11,MATCH(A435,Sprint!$B$2:$B$11,1)),"")</f>
        <v>S4</v>
      </c>
      <c r="C435" s="6" t="s">
        <v>56</v>
      </c>
      <c r="D435" s="6" t="s">
        <v>237</v>
      </c>
      <c r="E435" s="7" t="n">
        <v>0.75</v>
      </c>
      <c r="F435" s="6"/>
    </row>
    <row r="436" customFormat="false" ht="15" hidden="false" customHeight="false" outlineLevel="0" collapsed="false">
      <c r="A436" s="22" t="n">
        <v>46525</v>
      </c>
      <c r="B436" s="23" t="str">
        <f aca="false">IFERROR(INDEX(Sprint!$A$2:$A$11,MATCH(A436,Sprint!$B$2:$B$11,1)),"")</f>
        <v>S4</v>
      </c>
      <c r="C436" s="6" t="s">
        <v>58</v>
      </c>
      <c r="D436" s="6" t="s">
        <v>229</v>
      </c>
      <c r="E436" s="7" t="n">
        <v>1</v>
      </c>
      <c r="F436" s="6"/>
    </row>
    <row r="437" customFormat="false" ht="15" hidden="false" customHeight="false" outlineLevel="0" collapsed="false">
      <c r="A437" s="22" t="n">
        <v>46525</v>
      </c>
      <c r="B437" s="23" t="str">
        <f aca="false">IFERROR(INDEX(Sprint!$A$2:$A$11,MATCH(A437,Sprint!$B$2:$B$11,1)),"")</f>
        <v>S4</v>
      </c>
      <c r="C437" s="6" t="s">
        <v>60</v>
      </c>
      <c r="D437" s="6" t="s">
        <v>230</v>
      </c>
      <c r="E437" s="7" t="n">
        <v>1</v>
      </c>
      <c r="F437" s="6"/>
    </row>
    <row r="438" customFormat="false" ht="15" hidden="false" customHeight="false" outlineLevel="0" collapsed="false">
      <c r="A438" s="22" t="n">
        <v>46525</v>
      </c>
      <c r="B438" s="23" t="str">
        <f aca="false">IFERROR(INDEX(Sprint!$A$2:$A$11,MATCH(A438,Sprint!$B$2:$B$11,1)),"")</f>
        <v>S4</v>
      </c>
      <c r="C438" s="6" t="s">
        <v>67</v>
      </c>
      <c r="D438" s="6" t="s">
        <v>231</v>
      </c>
      <c r="E438" s="7" t="n">
        <v>1</v>
      </c>
      <c r="F438" s="6"/>
    </row>
    <row r="439" customFormat="false" ht="15" hidden="false" customHeight="false" outlineLevel="0" collapsed="false">
      <c r="A439" s="22" t="n">
        <v>46525</v>
      </c>
      <c r="B439" s="23" t="str">
        <f aca="false">IFERROR(INDEX(Sprint!$A$2:$A$11,MATCH(A439,Sprint!$B$2:$B$11,1)),"")</f>
        <v>S4</v>
      </c>
      <c r="C439" s="6" t="s">
        <v>52</v>
      </c>
      <c r="D439" s="6" t="s">
        <v>238</v>
      </c>
      <c r="E439" s="7" t="n">
        <v>1</v>
      </c>
      <c r="F439" s="6"/>
    </row>
    <row r="440" customFormat="false" ht="15" hidden="false" customHeight="false" outlineLevel="0" collapsed="false">
      <c r="A440" s="22" t="n">
        <v>46525</v>
      </c>
      <c r="B440" s="23" t="str">
        <f aca="false">IFERROR(INDEX(Sprint!$A$2:$A$11,MATCH(A440,Sprint!$B$2:$B$11,1)),"")</f>
        <v>S4</v>
      </c>
      <c r="C440" s="6" t="s">
        <v>62</v>
      </c>
      <c r="D440" s="6" t="s">
        <v>219</v>
      </c>
      <c r="E440" s="7" t="n">
        <v>0.75</v>
      </c>
      <c r="F440" s="6"/>
    </row>
    <row r="441" customFormat="false" ht="15" hidden="false" customHeight="false" outlineLevel="0" collapsed="false">
      <c r="A441" s="22" t="n">
        <v>46525</v>
      </c>
      <c r="B441" s="23" t="str">
        <f aca="false">IFERROR(INDEX(Sprint!$A$2:$A$11,MATCH(A441,Sprint!$B$2:$B$11,1)),"")</f>
        <v>S4</v>
      </c>
      <c r="C441" s="6" t="s">
        <v>62</v>
      </c>
      <c r="D441" s="6" t="s">
        <v>212</v>
      </c>
      <c r="E441" s="7" t="n">
        <v>0.25</v>
      </c>
      <c r="F441" s="6"/>
    </row>
    <row r="442" customFormat="false" ht="15" hidden="false" customHeight="false" outlineLevel="0" collapsed="false">
      <c r="A442" s="22" t="n">
        <v>46525</v>
      </c>
      <c r="B442" s="23" t="str">
        <f aca="false">IFERROR(INDEX(Sprint!$A$2:$A$11,MATCH(A442,Sprint!$B$2:$B$11,1)),"")</f>
        <v>S4</v>
      </c>
      <c r="C442" s="6" t="s">
        <v>65</v>
      </c>
      <c r="D442" s="6" t="s">
        <v>232</v>
      </c>
      <c r="E442" s="7" t="n">
        <v>1</v>
      </c>
      <c r="F442" s="6"/>
    </row>
    <row r="443" customFormat="false" ht="15" hidden="false" customHeight="false" outlineLevel="0" collapsed="false">
      <c r="A443" s="22" t="n">
        <v>46525</v>
      </c>
      <c r="B443" s="23" t="str">
        <f aca="false">IFERROR(INDEX(Sprint!$A$2:$A$11,MATCH(A443,Sprint!$B$2:$B$11,1)),"")</f>
        <v>S4</v>
      </c>
      <c r="C443" s="6" t="s">
        <v>37</v>
      </c>
      <c r="D443" s="6" t="s">
        <v>165</v>
      </c>
      <c r="E443" s="7" t="n">
        <v>0.5</v>
      </c>
      <c r="F443" s="6"/>
    </row>
    <row r="444" customFormat="false" ht="15" hidden="false" customHeight="false" outlineLevel="0" collapsed="false">
      <c r="A444" s="22" t="n">
        <v>46525</v>
      </c>
      <c r="B444" s="23" t="str">
        <f aca="false">IFERROR(INDEX(Sprint!$A$2:$A$11,MATCH(A444,Sprint!$B$2:$B$11,1)),"")</f>
        <v>S4</v>
      </c>
      <c r="C444" s="6" t="s">
        <v>37</v>
      </c>
      <c r="D444" s="6" t="s">
        <v>234</v>
      </c>
      <c r="E444" s="7" t="n">
        <v>0.5</v>
      </c>
      <c r="F444" s="6"/>
    </row>
    <row r="445" customFormat="false" ht="15" hidden="false" customHeight="false" outlineLevel="0" collapsed="false">
      <c r="A445" s="22" t="n">
        <v>46525</v>
      </c>
      <c r="B445" s="23" t="str">
        <f aca="false">IFERROR(INDEX(Sprint!$A$2:$A$11,MATCH(A445,Sprint!$B$2:$B$11,1)),"")</f>
        <v>S4</v>
      </c>
      <c r="C445" s="6" t="s">
        <v>44</v>
      </c>
      <c r="D445" s="6" t="s">
        <v>235</v>
      </c>
      <c r="E445" s="7" t="n">
        <v>0.5</v>
      </c>
      <c r="F445" s="6"/>
    </row>
    <row r="446" customFormat="false" ht="15" hidden="false" customHeight="false" outlineLevel="0" collapsed="false">
      <c r="A446" s="22" t="n">
        <v>46525</v>
      </c>
      <c r="B446" s="23" t="str">
        <f aca="false">IFERROR(INDEX(Sprint!$A$2:$A$11,MATCH(A446,Sprint!$B$2:$B$11,1)),"")</f>
        <v>S4</v>
      </c>
      <c r="C446" s="6" t="s">
        <v>44</v>
      </c>
      <c r="D446" s="6" t="s">
        <v>233</v>
      </c>
      <c r="E446" s="7" t="n">
        <v>0.5</v>
      </c>
      <c r="F446" s="6"/>
    </row>
    <row r="447" customFormat="false" ht="15" hidden="false" customHeight="false" outlineLevel="0" collapsed="false">
      <c r="A447" s="22" t="n">
        <v>46525</v>
      </c>
      <c r="B447" s="23" t="str">
        <f aca="false">IFERROR(INDEX(Sprint!$A$2:$A$11,MATCH(A447,Sprint!$B$2:$B$11,1)),"")</f>
        <v>S4</v>
      </c>
      <c r="C447" s="6" t="s">
        <v>47</v>
      </c>
      <c r="D447" s="6" t="s">
        <v>223</v>
      </c>
      <c r="E447" s="7" t="n">
        <v>0.25</v>
      </c>
      <c r="F447" s="6"/>
    </row>
    <row r="448" customFormat="false" ht="15" hidden="false" customHeight="false" outlineLevel="0" collapsed="false">
      <c r="A448" s="22" t="n">
        <v>46525</v>
      </c>
      <c r="B448" s="23" t="str">
        <f aca="false">IFERROR(INDEX(Sprint!$A$2:$A$11,MATCH(A448,Sprint!$B$2:$B$11,1)),"")</f>
        <v>S4</v>
      </c>
      <c r="C448" s="6" t="s">
        <v>47</v>
      </c>
      <c r="D448" s="6" t="s">
        <v>239</v>
      </c>
      <c r="E448" s="7" t="n">
        <v>0.75</v>
      </c>
      <c r="F448" s="6"/>
    </row>
    <row r="449" customFormat="false" ht="15" hidden="false" customHeight="false" outlineLevel="0" collapsed="false">
      <c r="A449" s="22" t="n">
        <v>46525</v>
      </c>
      <c r="B449" s="23" t="str">
        <f aca="false">IFERROR(INDEX(Sprint!$A$2:$A$11,MATCH(A449,Sprint!$B$2:$B$11,1)),"")</f>
        <v>S4</v>
      </c>
      <c r="C449" s="6" t="s">
        <v>41</v>
      </c>
      <c r="D449" s="6" t="s">
        <v>236</v>
      </c>
      <c r="E449" s="7" t="n">
        <v>1</v>
      </c>
      <c r="F449" s="6"/>
    </row>
    <row r="450" customFormat="false" ht="15" hidden="false" customHeight="false" outlineLevel="0" collapsed="false">
      <c r="A450" s="22" t="n">
        <v>46526</v>
      </c>
      <c r="B450" s="23" t="str">
        <f aca="false">IFERROR(INDEX(Sprint!$A$2:$A$11,MATCH(A450,Sprint!$B$2:$B$11,1)),"")</f>
        <v>S4</v>
      </c>
      <c r="C450" s="6" t="s">
        <v>56</v>
      </c>
      <c r="D450" s="6" t="s">
        <v>227</v>
      </c>
      <c r="E450" s="7" t="n">
        <v>0.5</v>
      </c>
      <c r="F450" s="6"/>
    </row>
    <row r="451" customFormat="false" ht="15" hidden="false" customHeight="false" outlineLevel="0" collapsed="false">
      <c r="A451" s="22" t="n">
        <v>46526</v>
      </c>
      <c r="B451" s="23" t="str">
        <f aca="false">IFERROR(INDEX(Sprint!$A$2:$A$11,MATCH(A451,Sprint!$B$2:$B$11,1)),"")</f>
        <v>S4</v>
      </c>
      <c r="C451" s="6" t="s">
        <v>56</v>
      </c>
      <c r="D451" s="6" t="s">
        <v>237</v>
      </c>
      <c r="E451" s="7" t="n">
        <v>0.5</v>
      </c>
      <c r="F451" s="6"/>
    </row>
    <row r="452" customFormat="false" ht="15" hidden="false" customHeight="false" outlineLevel="0" collapsed="false">
      <c r="A452" s="22" t="n">
        <v>46526</v>
      </c>
      <c r="B452" s="23" t="str">
        <f aca="false">IFERROR(INDEX(Sprint!$A$2:$A$11,MATCH(A452,Sprint!$B$2:$B$11,1)),"")</f>
        <v>S4</v>
      </c>
      <c r="C452" s="6" t="s">
        <v>58</v>
      </c>
      <c r="D452" s="6" t="s">
        <v>229</v>
      </c>
      <c r="E452" s="7" t="n">
        <v>1</v>
      </c>
      <c r="F452" s="6"/>
    </row>
    <row r="453" customFormat="false" ht="15" hidden="false" customHeight="false" outlineLevel="0" collapsed="false">
      <c r="A453" s="22" t="n">
        <v>46526</v>
      </c>
      <c r="B453" s="23" t="str">
        <f aca="false">IFERROR(INDEX(Sprint!$A$2:$A$11,MATCH(A453,Sprint!$B$2:$B$11,1)),"")</f>
        <v>S4</v>
      </c>
      <c r="C453" s="6" t="s">
        <v>60</v>
      </c>
      <c r="D453" s="6" t="s">
        <v>230</v>
      </c>
      <c r="E453" s="7" t="n">
        <v>1</v>
      </c>
      <c r="F453" s="6"/>
    </row>
    <row r="454" customFormat="false" ht="15" hidden="false" customHeight="false" outlineLevel="0" collapsed="false">
      <c r="A454" s="22" t="n">
        <v>46526</v>
      </c>
      <c r="B454" s="23" t="str">
        <f aca="false">IFERROR(INDEX(Sprint!$A$2:$A$11,MATCH(A454,Sprint!$B$2:$B$11,1)),"")</f>
        <v>S4</v>
      </c>
      <c r="C454" s="6" t="s">
        <v>67</v>
      </c>
      <c r="D454" s="6" t="s">
        <v>231</v>
      </c>
      <c r="E454" s="7" t="n">
        <v>1</v>
      </c>
      <c r="F454" s="6"/>
    </row>
    <row r="455" customFormat="false" ht="15" hidden="false" customHeight="false" outlineLevel="0" collapsed="false">
      <c r="A455" s="22" t="n">
        <v>46526</v>
      </c>
      <c r="B455" s="23" t="str">
        <f aca="false">IFERROR(INDEX(Sprint!$A$2:$A$11,MATCH(A455,Sprint!$B$2:$B$11,1)),"")</f>
        <v>S4</v>
      </c>
      <c r="C455" s="6" t="s">
        <v>52</v>
      </c>
      <c r="D455" s="6" t="s">
        <v>240</v>
      </c>
      <c r="E455" s="7" t="n">
        <v>1</v>
      </c>
      <c r="F455" s="6"/>
    </row>
    <row r="456" customFormat="false" ht="15" hidden="false" customHeight="false" outlineLevel="0" collapsed="false">
      <c r="A456" s="22" t="n">
        <v>46526</v>
      </c>
      <c r="B456" s="23" t="str">
        <f aca="false">IFERROR(INDEX(Sprint!$A$2:$A$11,MATCH(A456,Sprint!$B$2:$B$11,1)),"")</f>
        <v>S4</v>
      </c>
      <c r="C456" s="6" t="s">
        <v>62</v>
      </c>
      <c r="D456" s="6" t="s">
        <v>212</v>
      </c>
      <c r="E456" s="7" t="n">
        <v>1</v>
      </c>
      <c r="F456" s="6"/>
    </row>
    <row r="457" customFormat="false" ht="15" hidden="false" customHeight="false" outlineLevel="0" collapsed="false">
      <c r="A457" s="22" t="n">
        <v>46526</v>
      </c>
      <c r="B457" s="23" t="str">
        <f aca="false">IFERROR(INDEX(Sprint!$A$2:$A$11,MATCH(A457,Sprint!$B$2:$B$11,1)),"")</f>
        <v>S4</v>
      </c>
      <c r="C457" s="6" t="s">
        <v>65</v>
      </c>
      <c r="D457" s="6" t="s">
        <v>232</v>
      </c>
      <c r="E457" s="7" t="n">
        <v>1</v>
      </c>
      <c r="F457" s="6"/>
    </row>
    <row r="458" customFormat="false" ht="15" hidden="false" customHeight="false" outlineLevel="0" collapsed="false">
      <c r="A458" s="22" t="n">
        <v>46526</v>
      </c>
      <c r="B458" s="23" t="str">
        <f aca="false">IFERROR(INDEX(Sprint!$A$2:$A$11,MATCH(A458,Sprint!$B$2:$B$11,1)),"")</f>
        <v>S4</v>
      </c>
      <c r="C458" s="6" t="s">
        <v>37</v>
      </c>
      <c r="D458" s="6" t="s">
        <v>150</v>
      </c>
      <c r="E458" s="7" t="n">
        <v>0.25</v>
      </c>
      <c r="F458" s="6"/>
    </row>
    <row r="459" customFormat="false" ht="15" hidden="false" customHeight="false" outlineLevel="0" collapsed="false">
      <c r="A459" s="22" t="n">
        <v>46526</v>
      </c>
      <c r="B459" s="23" t="str">
        <f aca="false">IFERROR(INDEX(Sprint!$A$2:$A$11,MATCH(A459,Sprint!$B$2:$B$11,1)),"")</f>
        <v>S4</v>
      </c>
      <c r="C459" s="6" t="s">
        <v>37</v>
      </c>
      <c r="D459" s="6" t="s">
        <v>155</v>
      </c>
      <c r="E459" s="7" t="n">
        <v>0.25</v>
      </c>
      <c r="F459" s="6"/>
    </row>
    <row r="460" customFormat="false" ht="15" hidden="false" customHeight="false" outlineLevel="0" collapsed="false">
      <c r="A460" s="22" t="n">
        <v>46526</v>
      </c>
      <c r="B460" s="23" t="str">
        <f aca="false">IFERROR(INDEX(Sprint!$A$2:$A$11,MATCH(A460,Sprint!$B$2:$B$11,1)),"")</f>
        <v>S4</v>
      </c>
      <c r="C460" s="6" t="s">
        <v>37</v>
      </c>
      <c r="D460" s="6" t="s">
        <v>234</v>
      </c>
      <c r="E460" s="7" t="n">
        <v>0.5</v>
      </c>
      <c r="F460" s="6"/>
    </row>
    <row r="461" customFormat="false" ht="15" hidden="false" customHeight="false" outlineLevel="0" collapsed="false">
      <c r="A461" s="22" t="n">
        <v>46526</v>
      </c>
      <c r="B461" s="23" t="str">
        <f aca="false">IFERROR(INDEX(Sprint!$A$2:$A$11,MATCH(A461,Sprint!$B$2:$B$11,1)),"")</f>
        <v>S4</v>
      </c>
      <c r="C461" s="6" t="s">
        <v>49</v>
      </c>
      <c r="D461" s="6" t="s">
        <v>241</v>
      </c>
      <c r="E461" s="7" t="n">
        <v>1</v>
      </c>
      <c r="F461" s="6"/>
    </row>
    <row r="462" customFormat="false" ht="15" hidden="false" customHeight="false" outlineLevel="0" collapsed="false">
      <c r="A462" s="22" t="n">
        <v>46526</v>
      </c>
      <c r="B462" s="23" t="str">
        <f aca="false">IFERROR(INDEX(Sprint!$A$2:$A$11,MATCH(A462,Sprint!$B$2:$B$11,1)),"")</f>
        <v>S4</v>
      </c>
      <c r="C462" s="6" t="s">
        <v>44</v>
      </c>
      <c r="D462" s="6" t="s">
        <v>235</v>
      </c>
      <c r="E462" s="7" t="n">
        <v>0.75</v>
      </c>
      <c r="F462" s="6"/>
    </row>
    <row r="463" customFormat="false" ht="15" hidden="false" customHeight="false" outlineLevel="0" collapsed="false">
      <c r="A463" s="22" t="n">
        <v>46526</v>
      </c>
      <c r="B463" s="23" t="str">
        <f aca="false">IFERROR(INDEX(Sprint!$A$2:$A$11,MATCH(A463,Sprint!$B$2:$B$11,1)),"")</f>
        <v>S4</v>
      </c>
      <c r="C463" s="6" t="s">
        <v>44</v>
      </c>
      <c r="D463" s="6" t="s">
        <v>233</v>
      </c>
      <c r="E463" s="7" t="n">
        <v>0.25</v>
      </c>
      <c r="F463" s="6"/>
    </row>
    <row r="464" customFormat="false" ht="15" hidden="false" customHeight="false" outlineLevel="0" collapsed="false">
      <c r="A464" s="22" t="n">
        <v>46526</v>
      </c>
      <c r="B464" s="23" t="str">
        <f aca="false">IFERROR(INDEX(Sprint!$A$2:$A$11,MATCH(A464,Sprint!$B$2:$B$11,1)),"")</f>
        <v>S4</v>
      </c>
      <c r="C464" s="6" t="s">
        <v>47</v>
      </c>
      <c r="D464" s="6" t="s">
        <v>239</v>
      </c>
      <c r="E464" s="7" t="n">
        <v>1</v>
      </c>
      <c r="F464" s="6"/>
    </row>
    <row r="465" customFormat="false" ht="15" hidden="false" customHeight="false" outlineLevel="0" collapsed="false">
      <c r="A465" s="22" t="n">
        <v>46526</v>
      </c>
      <c r="B465" s="23" t="str">
        <f aca="false">IFERROR(INDEX(Sprint!$A$2:$A$11,MATCH(A465,Sprint!$B$2:$B$11,1)),"")</f>
        <v>S4</v>
      </c>
      <c r="C465" s="6" t="s">
        <v>41</v>
      </c>
      <c r="D465" s="6" t="s">
        <v>236</v>
      </c>
      <c r="E465" s="7" t="n">
        <v>1</v>
      </c>
      <c r="F465" s="6"/>
    </row>
    <row r="466" customFormat="false" ht="15" hidden="false" customHeight="false" outlineLevel="0" collapsed="false">
      <c r="A466" s="22" t="n">
        <v>46527</v>
      </c>
      <c r="B466" s="23" t="str">
        <f aca="false">IFERROR(INDEX(Sprint!$A$2:$A$11,MATCH(A466,Sprint!$B$2:$B$11,1)),"")</f>
        <v>S4</v>
      </c>
      <c r="C466" s="6" t="s">
        <v>56</v>
      </c>
      <c r="D466" s="6" t="s">
        <v>227</v>
      </c>
      <c r="E466" s="7" t="n">
        <v>0.5</v>
      </c>
      <c r="F466" s="6"/>
    </row>
    <row r="467" customFormat="false" ht="15" hidden="false" customHeight="false" outlineLevel="0" collapsed="false">
      <c r="A467" s="22" t="n">
        <v>46527</v>
      </c>
      <c r="B467" s="23" t="str">
        <f aca="false">IFERROR(INDEX(Sprint!$A$2:$A$11,MATCH(A467,Sprint!$B$2:$B$11,1)),"")</f>
        <v>S4</v>
      </c>
      <c r="C467" s="6" t="s">
        <v>56</v>
      </c>
      <c r="D467" s="6" t="s">
        <v>237</v>
      </c>
      <c r="E467" s="7" t="n">
        <v>0.5</v>
      </c>
      <c r="F467" s="6"/>
    </row>
    <row r="468" customFormat="false" ht="15" hidden="false" customHeight="false" outlineLevel="0" collapsed="false">
      <c r="A468" s="22" t="n">
        <v>46527</v>
      </c>
      <c r="B468" s="23" t="str">
        <f aca="false">IFERROR(INDEX(Sprint!$A$2:$A$11,MATCH(A468,Sprint!$B$2:$B$11,1)),"")</f>
        <v>S4</v>
      </c>
      <c r="C468" s="6" t="s">
        <v>58</v>
      </c>
      <c r="D468" s="6" t="s">
        <v>227</v>
      </c>
      <c r="E468" s="7" t="n">
        <v>1</v>
      </c>
      <c r="F468" s="6"/>
    </row>
    <row r="469" customFormat="false" ht="15" hidden="false" customHeight="false" outlineLevel="0" collapsed="false">
      <c r="A469" s="22" t="n">
        <v>46527</v>
      </c>
      <c r="B469" s="23" t="str">
        <f aca="false">IFERROR(INDEX(Sprint!$A$2:$A$11,MATCH(A469,Sprint!$B$2:$B$11,1)),"")</f>
        <v>S4</v>
      </c>
      <c r="C469" s="6" t="s">
        <v>60</v>
      </c>
      <c r="D469" s="6" t="s">
        <v>230</v>
      </c>
      <c r="E469" s="7" t="n">
        <v>1</v>
      </c>
      <c r="F469" s="6"/>
    </row>
    <row r="470" customFormat="false" ht="15" hidden="false" customHeight="false" outlineLevel="0" collapsed="false">
      <c r="A470" s="22" t="n">
        <v>46527</v>
      </c>
      <c r="B470" s="23" t="str">
        <f aca="false">IFERROR(INDEX(Sprint!$A$2:$A$11,MATCH(A470,Sprint!$B$2:$B$11,1)),"")</f>
        <v>S4</v>
      </c>
      <c r="C470" s="6" t="s">
        <v>67</v>
      </c>
      <c r="D470" s="6" t="s">
        <v>231</v>
      </c>
      <c r="E470" s="7" t="n">
        <v>1</v>
      </c>
      <c r="F470" s="6"/>
    </row>
    <row r="471" customFormat="false" ht="15" hidden="false" customHeight="false" outlineLevel="0" collapsed="false">
      <c r="A471" s="22" t="n">
        <v>46527</v>
      </c>
      <c r="B471" s="23" t="str">
        <f aca="false">IFERROR(INDEX(Sprint!$A$2:$A$11,MATCH(A471,Sprint!$B$2:$B$11,1)),"")</f>
        <v>S4</v>
      </c>
      <c r="C471" s="6" t="s">
        <v>52</v>
      </c>
      <c r="D471" s="6" t="s">
        <v>240</v>
      </c>
      <c r="E471" s="7" t="n">
        <v>1</v>
      </c>
      <c r="F471" s="6"/>
    </row>
    <row r="472" customFormat="false" ht="15" hidden="false" customHeight="false" outlineLevel="0" collapsed="false">
      <c r="A472" s="22" t="n">
        <v>46527</v>
      </c>
      <c r="B472" s="23" t="str">
        <f aca="false">IFERROR(INDEX(Sprint!$A$2:$A$11,MATCH(A472,Sprint!$B$2:$B$11,1)),"")</f>
        <v>S4</v>
      </c>
      <c r="C472" s="6" t="s">
        <v>62</v>
      </c>
      <c r="D472" s="6" t="s">
        <v>242</v>
      </c>
      <c r="E472" s="7" t="n">
        <v>1</v>
      </c>
      <c r="F472" s="6"/>
    </row>
    <row r="473" customFormat="false" ht="15" hidden="false" customHeight="false" outlineLevel="0" collapsed="false">
      <c r="A473" s="22" t="n">
        <v>46527</v>
      </c>
      <c r="B473" s="23" t="str">
        <f aca="false">IFERROR(INDEX(Sprint!$A$2:$A$11,MATCH(A473,Sprint!$B$2:$B$11,1)),"")</f>
        <v>S4</v>
      </c>
      <c r="C473" s="6" t="s">
        <v>65</v>
      </c>
      <c r="D473" s="6" t="s">
        <v>232</v>
      </c>
      <c r="E473" s="7" t="n">
        <v>1</v>
      </c>
      <c r="F473" s="6"/>
    </row>
    <row r="474" customFormat="false" ht="15" hidden="false" customHeight="false" outlineLevel="0" collapsed="false">
      <c r="A474" s="22" t="n">
        <v>46527</v>
      </c>
      <c r="B474" s="23" t="str">
        <f aca="false">IFERROR(INDEX(Sprint!$A$2:$A$11,MATCH(A474,Sprint!$B$2:$B$11,1)),"")</f>
        <v>S4</v>
      </c>
      <c r="C474" s="6" t="s">
        <v>37</v>
      </c>
      <c r="D474" s="6" t="s">
        <v>151</v>
      </c>
      <c r="E474" s="7" t="n">
        <v>0.25</v>
      </c>
      <c r="F474" s="6"/>
    </row>
    <row r="475" customFormat="false" ht="15" hidden="false" customHeight="false" outlineLevel="0" collapsed="false">
      <c r="A475" s="22" t="n">
        <v>46527</v>
      </c>
      <c r="B475" s="23" t="str">
        <f aca="false">IFERROR(INDEX(Sprint!$A$2:$A$11,MATCH(A475,Sprint!$B$2:$B$11,1)),"")</f>
        <v>S4</v>
      </c>
      <c r="C475" s="6" t="s">
        <v>37</v>
      </c>
      <c r="D475" s="6" t="s">
        <v>154</v>
      </c>
      <c r="E475" s="7" t="n">
        <v>0.25</v>
      </c>
      <c r="F475" s="6"/>
    </row>
    <row r="476" customFormat="false" ht="15" hidden="false" customHeight="false" outlineLevel="0" collapsed="false">
      <c r="A476" s="22" t="n">
        <v>46527</v>
      </c>
      <c r="B476" s="23" t="str">
        <f aca="false">IFERROR(INDEX(Sprint!$A$2:$A$11,MATCH(A476,Sprint!$B$2:$B$11,1)),"")</f>
        <v>S4</v>
      </c>
      <c r="C476" s="6" t="s">
        <v>37</v>
      </c>
      <c r="D476" s="6" t="s">
        <v>234</v>
      </c>
      <c r="E476" s="7" t="n">
        <v>0.5</v>
      </c>
      <c r="F476" s="6"/>
    </row>
    <row r="477" customFormat="false" ht="15" hidden="false" customHeight="false" outlineLevel="0" collapsed="false">
      <c r="A477" s="22" t="n">
        <v>46527</v>
      </c>
      <c r="B477" s="23" t="str">
        <f aca="false">IFERROR(INDEX(Sprint!$A$2:$A$11,MATCH(A477,Sprint!$B$2:$B$11,1)),"")</f>
        <v>S4</v>
      </c>
      <c r="C477" s="6" t="s">
        <v>49</v>
      </c>
      <c r="D477" s="6" t="s">
        <v>241</v>
      </c>
      <c r="E477" s="7" t="n">
        <v>1</v>
      </c>
      <c r="F477" s="6"/>
    </row>
    <row r="478" customFormat="false" ht="15" hidden="false" customHeight="false" outlineLevel="0" collapsed="false">
      <c r="A478" s="22" t="n">
        <v>46527</v>
      </c>
      <c r="B478" s="23" t="str">
        <f aca="false">IFERROR(INDEX(Sprint!$A$2:$A$11,MATCH(A478,Sprint!$B$2:$B$11,1)),"")</f>
        <v>S4</v>
      </c>
      <c r="C478" s="6" t="s">
        <v>44</v>
      </c>
      <c r="D478" s="6" t="s">
        <v>235</v>
      </c>
      <c r="E478" s="7" t="n">
        <v>0.75</v>
      </c>
      <c r="F478" s="6"/>
    </row>
    <row r="479" customFormat="false" ht="15" hidden="false" customHeight="false" outlineLevel="0" collapsed="false">
      <c r="A479" s="22" t="n">
        <v>46527</v>
      </c>
      <c r="B479" s="23" t="str">
        <f aca="false">IFERROR(INDEX(Sprint!$A$2:$A$11,MATCH(A479,Sprint!$B$2:$B$11,1)),"")</f>
        <v>S4</v>
      </c>
      <c r="C479" s="6" t="s">
        <v>44</v>
      </c>
      <c r="D479" s="6" t="s">
        <v>233</v>
      </c>
      <c r="E479" s="7" t="n">
        <v>0.25</v>
      </c>
      <c r="F479" s="6"/>
    </row>
    <row r="480" customFormat="false" ht="15" hidden="false" customHeight="false" outlineLevel="0" collapsed="false">
      <c r="A480" s="22" t="n">
        <v>46527</v>
      </c>
      <c r="B480" s="23" t="str">
        <f aca="false">IFERROR(INDEX(Sprint!$A$2:$A$11,MATCH(A480,Sprint!$B$2:$B$11,1)),"")</f>
        <v>S4</v>
      </c>
      <c r="C480" s="6" t="s">
        <v>47</v>
      </c>
      <c r="D480" s="6" t="s">
        <v>239</v>
      </c>
      <c r="E480" s="7" t="n">
        <v>1</v>
      </c>
      <c r="F480" s="6"/>
    </row>
    <row r="481" customFormat="false" ht="15" hidden="false" customHeight="false" outlineLevel="0" collapsed="false">
      <c r="A481" s="22" t="n">
        <v>46527</v>
      </c>
      <c r="B481" s="23" t="str">
        <f aca="false">IFERROR(INDEX(Sprint!$A$2:$A$11,MATCH(A481,Sprint!$B$2:$B$11,1)),"")</f>
        <v>S4</v>
      </c>
      <c r="C481" s="6" t="s">
        <v>41</v>
      </c>
      <c r="D481" s="6" t="s">
        <v>236</v>
      </c>
      <c r="E481" s="7" t="n">
        <v>1</v>
      </c>
      <c r="F481" s="6"/>
    </row>
    <row r="482" customFormat="false" ht="15" hidden="false" customHeight="false" outlineLevel="0" collapsed="false">
      <c r="A482" s="22" t="n">
        <v>46528</v>
      </c>
      <c r="B482" s="23" t="str">
        <f aca="false">IFERROR(INDEX(Sprint!$A$2:$A$11,MATCH(A482,Sprint!$B$2:$B$11,1)),"")</f>
        <v>S5</v>
      </c>
      <c r="C482" s="6" t="s">
        <v>56</v>
      </c>
      <c r="D482" s="6" t="s">
        <v>227</v>
      </c>
      <c r="E482" s="7" t="n">
        <v>0.25</v>
      </c>
      <c r="F482" s="6"/>
    </row>
    <row r="483" customFormat="false" ht="15" hidden="false" customHeight="false" outlineLevel="0" collapsed="false">
      <c r="A483" s="22" t="n">
        <v>46528</v>
      </c>
      <c r="B483" s="23" t="str">
        <f aca="false">IFERROR(INDEX(Sprint!$A$2:$A$11,MATCH(A483,Sprint!$B$2:$B$11,1)),"")</f>
        <v>S5</v>
      </c>
      <c r="C483" s="6" t="s">
        <v>56</v>
      </c>
      <c r="D483" s="6" t="s">
        <v>237</v>
      </c>
      <c r="E483" s="7" t="n">
        <v>0.75</v>
      </c>
      <c r="F483" s="6"/>
    </row>
    <row r="484" customFormat="false" ht="15" hidden="false" customHeight="false" outlineLevel="0" collapsed="false">
      <c r="A484" s="22" t="n">
        <v>46528</v>
      </c>
      <c r="B484" s="23" t="str">
        <f aca="false">IFERROR(INDEX(Sprint!$A$2:$A$11,MATCH(A484,Sprint!$B$2:$B$11,1)),"")</f>
        <v>S5</v>
      </c>
      <c r="C484" s="6" t="s">
        <v>58</v>
      </c>
      <c r="D484" s="6" t="s">
        <v>227</v>
      </c>
      <c r="E484" s="7" t="n">
        <v>1</v>
      </c>
      <c r="F484" s="6"/>
    </row>
    <row r="485" customFormat="false" ht="15" hidden="false" customHeight="false" outlineLevel="0" collapsed="false">
      <c r="A485" s="22" t="n">
        <v>46528</v>
      </c>
      <c r="B485" s="23" t="str">
        <f aca="false">IFERROR(INDEX(Sprint!$A$2:$A$11,MATCH(A485,Sprint!$B$2:$B$11,1)),"")</f>
        <v>S5</v>
      </c>
      <c r="C485" s="6" t="s">
        <v>60</v>
      </c>
      <c r="D485" s="6" t="s">
        <v>230</v>
      </c>
      <c r="E485" s="7" t="n">
        <v>0.25</v>
      </c>
      <c r="F485" s="6"/>
    </row>
    <row r="486" customFormat="false" ht="15" hidden="false" customHeight="false" outlineLevel="0" collapsed="false">
      <c r="A486" s="22" t="n">
        <v>46528</v>
      </c>
      <c r="B486" s="23" t="str">
        <f aca="false">IFERROR(INDEX(Sprint!$A$2:$A$11,MATCH(A486,Sprint!$B$2:$B$11,1)),"")</f>
        <v>S5</v>
      </c>
      <c r="C486" s="6" t="s">
        <v>60</v>
      </c>
      <c r="D486" s="6" t="s">
        <v>243</v>
      </c>
      <c r="E486" s="7" t="n">
        <v>0.75</v>
      </c>
      <c r="F486" s="6"/>
    </row>
    <row r="487" customFormat="false" ht="15" hidden="false" customHeight="false" outlineLevel="0" collapsed="false">
      <c r="A487" s="22" t="n">
        <v>46528</v>
      </c>
      <c r="B487" s="23" t="str">
        <f aca="false">IFERROR(INDEX(Sprint!$A$2:$A$11,MATCH(A487,Sprint!$B$2:$B$11,1)),"")</f>
        <v>S5</v>
      </c>
      <c r="C487" s="6" t="s">
        <v>67</v>
      </c>
      <c r="D487" s="6" t="s">
        <v>244</v>
      </c>
      <c r="E487" s="7" t="n">
        <v>1</v>
      </c>
      <c r="F487" s="6"/>
    </row>
    <row r="488" customFormat="false" ht="15" hidden="false" customHeight="false" outlineLevel="0" collapsed="false">
      <c r="A488" s="22" t="n">
        <v>46528</v>
      </c>
      <c r="B488" s="23" t="str">
        <f aca="false">IFERROR(INDEX(Sprint!$A$2:$A$11,MATCH(A488,Sprint!$B$2:$B$11,1)),"")</f>
        <v>S5</v>
      </c>
      <c r="C488" s="6" t="s">
        <v>52</v>
      </c>
      <c r="D488" s="6" t="s">
        <v>240</v>
      </c>
      <c r="E488" s="7" t="n">
        <v>1</v>
      </c>
      <c r="F488" s="6"/>
    </row>
    <row r="489" customFormat="false" ht="15" hidden="false" customHeight="false" outlineLevel="0" collapsed="false">
      <c r="A489" s="22" t="n">
        <v>46528</v>
      </c>
      <c r="B489" s="23" t="str">
        <f aca="false">IFERROR(INDEX(Sprint!$A$2:$A$11,MATCH(A489,Sprint!$B$2:$B$11,1)),"")</f>
        <v>S5</v>
      </c>
      <c r="C489" s="6" t="s">
        <v>62</v>
      </c>
      <c r="D489" s="6" t="s">
        <v>242</v>
      </c>
      <c r="E489" s="7" t="n">
        <v>0.75</v>
      </c>
      <c r="F489" s="6"/>
    </row>
    <row r="490" customFormat="false" ht="15" hidden="false" customHeight="false" outlineLevel="0" collapsed="false">
      <c r="A490" s="22" t="n">
        <v>46528</v>
      </c>
      <c r="B490" s="23" t="str">
        <f aca="false">IFERROR(INDEX(Sprint!$A$2:$A$11,MATCH(A490,Sprint!$B$2:$B$11,1)),"")</f>
        <v>S5</v>
      </c>
      <c r="C490" s="6" t="s">
        <v>65</v>
      </c>
      <c r="D490" s="6" t="s">
        <v>228</v>
      </c>
      <c r="E490" s="7" t="n">
        <v>1</v>
      </c>
      <c r="F490" s="6"/>
    </row>
    <row r="491" customFormat="false" ht="15" hidden="false" customHeight="false" outlineLevel="0" collapsed="false">
      <c r="A491" s="22" t="n">
        <v>46528</v>
      </c>
      <c r="B491" s="23" t="str">
        <f aca="false">IFERROR(INDEX(Sprint!$A$2:$A$11,MATCH(A491,Sprint!$B$2:$B$11,1)),"")</f>
        <v>S5</v>
      </c>
      <c r="C491" s="6" t="s">
        <v>37</v>
      </c>
      <c r="D491" s="6" t="s">
        <v>234</v>
      </c>
      <c r="E491" s="7" t="n">
        <v>0.5</v>
      </c>
      <c r="F491" s="6"/>
    </row>
    <row r="492" customFormat="false" ht="15" hidden="false" customHeight="false" outlineLevel="0" collapsed="false">
      <c r="A492" s="22" t="n">
        <v>46528</v>
      </c>
      <c r="B492" s="23" t="str">
        <f aca="false">IFERROR(INDEX(Sprint!$A$2:$A$11,MATCH(A492,Sprint!$B$2:$B$11,1)),"")</f>
        <v>S5</v>
      </c>
      <c r="C492" s="6" t="s">
        <v>37</v>
      </c>
      <c r="D492" s="6" t="s">
        <v>168</v>
      </c>
      <c r="E492" s="7" t="n">
        <v>0.25</v>
      </c>
      <c r="F492" s="6"/>
    </row>
    <row r="493" customFormat="false" ht="15" hidden="false" customHeight="false" outlineLevel="0" collapsed="false">
      <c r="A493" s="22" t="n">
        <v>46528</v>
      </c>
      <c r="B493" s="23" t="str">
        <f aca="false">IFERROR(INDEX(Sprint!$A$2:$A$11,MATCH(A493,Sprint!$B$2:$B$11,1)),"")</f>
        <v>S5</v>
      </c>
      <c r="C493" s="6" t="s">
        <v>37</v>
      </c>
      <c r="D493" s="6" t="s">
        <v>175</v>
      </c>
      <c r="E493" s="7" t="n">
        <v>0.25</v>
      </c>
      <c r="F493" s="6"/>
    </row>
    <row r="494" customFormat="false" ht="15" hidden="false" customHeight="false" outlineLevel="0" collapsed="false">
      <c r="A494" s="22" t="n">
        <v>46528</v>
      </c>
      <c r="B494" s="23" t="str">
        <f aca="false">IFERROR(INDEX(Sprint!$A$2:$A$11,MATCH(A494,Sprint!$B$2:$B$11,1)),"")</f>
        <v>S5</v>
      </c>
      <c r="C494" s="6" t="s">
        <v>49</v>
      </c>
      <c r="D494" s="6" t="s">
        <v>241</v>
      </c>
      <c r="E494" s="7" t="n">
        <v>0.75</v>
      </c>
      <c r="F494" s="6"/>
    </row>
    <row r="495" customFormat="false" ht="15" hidden="false" customHeight="false" outlineLevel="0" collapsed="false">
      <c r="A495" s="22" t="n">
        <v>46528</v>
      </c>
      <c r="B495" s="23" t="str">
        <f aca="false">IFERROR(INDEX(Sprint!$A$2:$A$11,MATCH(A495,Sprint!$B$2:$B$11,1)),"")</f>
        <v>S5</v>
      </c>
      <c r="C495" s="6" t="s">
        <v>44</v>
      </c>
      <c r="D495" s="6" t="s">
        <v>235</v>
      </c>
      <c r="E495" s="7" t="n">
        <v>0.25</v>
      </c>
      <c r="F495" s="6"/>
    </row>
    <row r="496" customFormat="false" ht="15" hidden="false" customHeight="false" outlineLevel="0" collapsed="false">
      <c r="A496" s="22" t="n">
        <v>46528</v>
      </c>
      <c r="B496" s="23" t="str">
        <f aca="false">IFERROR(INDEX(Sprint!$A$2:$A$11,MATCH(A496,Sprint!$B$2:$B$11,1)),"")</f>
        <v>S5</v>
      </c>
      <c r="C496" s="6" t="s">
        <v>47</v>
      </c>
      <c r="D496" s="6" t="s">
        <v>239</v>
      </c>
      <c r="E496" s="7" t="n">
        <v>0.75</v>
      </c>
      <c r="F496" s="6"/>
    </row>
    <row r="497" customFormat="false" ht="15" hidden="false" customHeight="false" outlineLevel="0" collapsed="false">
      <c r="A497" s="22" t="n">
        <v>46528</v>
      </c>
      <c r="B497" s="23" t="str">
        <f aca="false">IFERROR(INDEX(Sprint!$A$2:$A$11,MATCH(A497,Sprint!$B$2:$B$11,1)),"")</f>
        <v>S5</v>
      </c>
      <c r="C497" s="6" t="s">
        <v>41</v>
      </c>
      <c r="D497" s="6" t="s">
        <v>236</v>
      </c>
      <c r="E497" s="7" t="n">
        <v>1</v>
      </c>
      <c r="F497" s="6"/>
    </row>
    <row r="498" customFormat="false" ht="15" hidden="false" customHeight="false" outlineLevel="0" collapsed="false">
      <c r="A498" s="22" t="n">
        <v>46531</v>
      </c>
      <c r="B498" s="23" t="str">
        <f aca="false">IFERROR(INDEX(Sprint!$A$2:$A$11,MATCH(A498,Sprint!$B$2:$B$11,1)),"")</f>
        <v>S5</v>
      </c>
      <c r="C498" s="6" t="s">
        <v>56</v>
      </c>
      <c r="D498" s="6" t="s">
        <v>237</v>
      </c>
      <c r="E498" s="7" t="n">
        <v>0.75</v>
      </c>
      <c r="F498" s="6"/>
    </row>
    <row r="499" customFormat="false" ht="15" hidden="false" customHeight="false" outlineLevel="0" collapsed="false">
      <c r="A499" s="22" t="n">
        <v>46531</v>
      </c>
      <c r="B499" s="23" t="str">
        <f aca="false">IFERROR(INDEX(Sprint!$A$2:$A$11,MATCH(A499,Sprint!$B$2:$B$11,1)),"")</f>
        <v>S5</v>
      </c>
      <c r="C499" s="6" t="s">
        <v>58</v>
      </c>
      <c r="D499" s="6" t="s">
        <v>227</v>
      </c>
      <c r="E499" s="7" t="n">
        <v>0.5</v>
      </c>
      <c r="F499" s="6"/>
    </row>
    <row r="500" customFormat="false" ht="15" hidden="false" customHeight="false" outlineLevel="0" collapsed="false">
      <c r="A500" s="22" t="n">
        <v>46531</v>
      </c>
      <c r="B500" s="23" t="str">
        <f aca="false">IFERROR(INDEX(Sprint!$A$2:$A$11,MATCH(A500,Sprint!$B$2:$B$11,1)),"")</f>
        <v>S5</v>
      </c>
      <c r="C500" s="6" t="s">
        <v>60</v>
      </c>
      <c r="D500" s="6" t="s">
        <v>243</v>
      </c>
      <c r="E500" s="7" t="n">
        <v>1</v>
      </c>
      <c r="F500" s="6"/>
    </row>
    <row r="501" customFormat="false" ht="15" hidden="false" customHeight="false" outlineLevel="0" collapsed="false">
      <c r="A501" s="22" t="n">
        <v>46531</v>
      </c>
      <c r="B501" s="23" t="str">
        <f aca="false">IFERROR(INDEX(Sprint!$A$2:$A$11,MATCH(A501,Sprint!$B$2:$B$11,1)),"")</f>
        <v>S5</v>
      </c>
      <c r="C501" s="6" t="s">
        <v>67</v>
      </c>
      <c r="D501" s="6" t="s">
        <v>244</v>
      </c>
      <c r="E501" s="7" t="n">
        <v>1</v>
      </c>
      <c r="F501" s="6"/>
    </row>
    <row r="502" customFormat="false" ht="15" hidden="false" customHeight="false" outlineLevel="0" collapsed="false">
      <c r="A502" s="22" t="n">
        <v>46531</v>
      </c>
      <c r="B502" s="23" t="str">
        <f aca="false">IFERROR(INDEX(Sprint!$A$2:$A$11,MATCH(A502,Sprint!$B$2:$B$11,1)),"")</f>
        <v>S5</v>
      </c>
      <c r="C502" s="6" t="s">
        <v>52</v>
      </c>
      <c r="D502" s="6" t="s">
        <v>240</v>
      </c>
      <c r="E502" s="7" t="n">
        <v>1</v>
      </c>
      <c r="F502" s="6"/>
    </row>
    <row r="503" customFormat="false" ht="15" hidden="false" customHeight="false" outlineLevel="0" collapsed="false">
      <c r="A503" s="22" t="n">
        <v>46531</v>
      </c>
      <c r="B503" s="23" t="str">
        <f aca="false">IFERROR(INDEX(Sprint!$A$2:$A$11,MATCH(A503,Sprint!$B$2:$B$11,1)),"")</f>
        <v>S5</v>
      </c>
      <c r="C503" s="6" t="s">
        <v>62</v>
      </c>
      <c r="D503" s="6" t="s">
        <v>242</v>
      </c>
      <c r="E503" s="7" t="n">
        <v>1</v>
      </c>
      <c r="F503" s="6"/>
    </row>
    <row r="504" customFormat="false" ht="15" hidden="false" customHeight="false" outlineLevel="0" collapsed="false">
      <c r="A504" s="22" t="n">
        <v>46531</v>
      </c>
      <c r="B504" s="23" t="str">
        <f aca="false">IFERROR(INDEX(Sprint!$A$2:$A$11,MATCH(A504,Sprint!$B$2:$B$11,1)),"")</f>
        <v>S5</v>
      </c>
      <c r="C504" s="6" t="s">
        <v>65</v>
      </c>
      <c r="D504" s="6" t="s">
        <v>228</v>
      </c>
      <c r="E504" s="7" t="n">
        <v>1</v>
      </c>
      <c r="F504" s="6"/>
    </row>
    <row r="505" customFormat="false" ht="15" hidden="false" customHeight="false" outlineLevel="0" collapsed="false">
      <c r="A505" s="22" t="n">
        <v>46531</v>
      </c>
      <c r="B505" s="23" t="str">
        <f aca="false">IFERROR(INDEX(Sprint!$A$2:$A$11,MATCH(A505,Sprint!$B$2:$B$11,1)),"")</f>
        <v>S5</v>
      </c>
      <c r="C505" s="6" t="s">
        <v>37</v>
      </c>
      <c r="D505" s="6" t="s">
        <v>185</v>
      </c>
      <c r="E505" s="7" t="n">
        <v>0.5</v>
      </c>
      <c r="F505" s="6"/>
    </row>
    <row r="506" customFormat="false" ht="15" hidden="false" customHeight="false" outlineLevel="0" collapsed="false">
      <c r="A506" s="22" t="n">
        <v>46531</v>
      </c>
      <c r="B506" s="23" t="str">
        <f aca="false">IFERROR(INDEX(Sprint!$A$2:$A$11,MATCH(A506,Sprint!$B$2:$B$11,1)),"")</f>
        <v>S5</v>
      </c>
      <c r="C506" s="6" t="s">
        <v>37</v>
      </c>
      <c r="D506" s="6" t="s">
        <v>245</v>
      </c>
      <c r="E506" s="7" t="n">
        <v>0.25</v>
      </c>
      <c r="F506" s="6"/>
    </row>
    <row r="507" customFormat="false" ht="15" hidden="false" customHeight="false" outlineLevel="0" collapsed="false">
      <c r="A507" s="22" t="n">
        <v>46531</v>
      </c>
      <c r="B507" s="23" t="str">
        <f aca="false">IFERROR(INDEX(Sprint!$A$2:$A$11,MATCH(A507,Sprint!$B$2:$B$11,1)),"")</f>
        <v>S5</v>
      </c>
      <c r="C507" s="6" t="s">
        <v>49</v>
      </c>
      <c r="D507" s="6" t="s">
        <v>241</v>
      </c>
      <c r="E507" s="7" t="n">
        <v>0.75</v>
      </c>
      <c r="F507" s="6"/>
    </row>
    <row r="508" customFormat="false" ht="15" hidden="false" customHeight="false" outlineLevel="0" collapsed="false">
      <c r="A508" s="22" t="n">
        <v>46531</v>
      </c>
      <c r="B508" s="23" t="str">
        <f aca="false">IFERROR(INDEX(Sprint!$A$2:$A$11,MATCH(A508,Sprint!$B$2:$B$11,1)),"")</f>
        <v>S5</v>
      </c>
      <c r="C508" s="6" t="s">
        <v>44</v>
      </c>
      <c r="D508" s="6" t="s">
        <v>235</v>
      </c>
      <c r="E508" s="7" t="n">
        <v>0.5</v>
      </c>
      <c r="F508" s="6"/>
    </row>
    <row r="509" customFormat="false" ht="15" hidden="false" customHeight="false" outlineLevel="0" collapsed="false">
      <c r="A509" s="22" t="n">
        <v>46531</v>
      </c>
      <c r="B509" s="23" t="str">
        <f aca="false">IFERROR(INDEX(Sprint!$A$2:$A$11,MATCH(A509,Sprint!$B$2:$B$11,1)),"")</f>
        <v>S5</v>
      </c>
      <c r="C509" s="6" t="s">
        <v>47</v>
      </c>
      <c r="D509" s="6" t="s">
        <v>239</v>
      </c>
      <c r="E509" s="7" t="n">
        <v>1</v>
      </c>
      <c r="F509" s="6"/>
    </row>
    <row r="510" customFormat="false" ht="15" hidden="false" customHeight="false" outlineLevel="0" collapsed="false">
      <c r="A510" s="22" t="n">
        <v>46531</v>
      </c>
      <c r="B510" s="23" t="str">
        <f aca="false">IFERROR(INDEX(Sprint!$A$2:$A$11,MATCH(A510,Sprint!$B$2:$B$11,1)),"")</f>
        <v>S5</v>
      </c>
      <c r="C510" s="6" t="s">
        <v>41</v>
      </c>
      <c r="D510" s="6" t="s">
        <v>233</v>
      </c>
      <c r="E510" s="7" t="n">
        <v>1</v>
      </c>
      <c r="F510" s="6"/>
    </row>
    <row r="511" customFormat="false" ht="15" hidden="false" customHeight="false" outlineLevel="0" collapsed="false">
      <c r="A511" s="22" t="n">
        <v>46532</v>
      </c>
      <c r="B511" s="23" t="str">
        <f aca="false">IFERROR(INDEX(Sprint!$A$2:$A$11,MATCH(A511,Sprint!$B$2:$B$11,1)),"")</f>
        <v>S5</v>
      </c>
      <c r="C511" s="6" t="s">
        <v>56</v>
      </c>
      <c r="D511" s="6" t="s">
        <v>237</v>
      </c>
      <c r="E511" s="7" t="n">
        <v>0.5</v>
      </c>
      <c r="F511" s="6"/>
    </row>
    <row r="512" customFormat="false" ht="15" hidden="false" customHeight="false" outlineLevel="0" collapsed="false">
      <c r="A512" s="22" t="n">
        <v>46532</v>
      </c>
      <c r="B512" s="23" t="str">
        <f aca="false">IFERROR(INDEX(Sprint!$A$2:$A$11,MATCH(A512,Sprint!$B$2:$B$11,1)),"")</f>
        <v>S5</v>
      </c>
      <c r="C512" s="6" t="s">
        <v>58</v>
      </c>
      <c r="D512" s="6" t="s">
        <v>246</v>
      </c>
      <c r="E512" s="7" t="n">
        <v>0.75</v>
      </c>
      <c r="F512" s="6"/>
    </row>
    <row r="513" customFormat="false" ht="15" hidden="false" customHeight="false" outlineLevel="0" collapsed="false">
      <c r="A513" s="22" t="n">
        <v>46532</v>
      </c>
      <c r="B513" s="23" t="str">
        <f aca="false">IFERROR(INDEX(Sprint!$A$2:$A$11,MATCH(A513,Sprint!$B$2:$B$11,1)),"")</f>
        <v>S5</v>
      </c>
      <c r="C513" s="6" t="s">
        <v>60</v>
      </c>
      <c r="D513" s="6" t="s">
        <v>243</v>
      </c>
      <c r="E513" s="7" t="n">
        <v>1</v>
      </c>
      <c r="F513" s="6"/>
    </row>
    <row r="514" customFormat="false" ht="15" hidden="false" customHeight="false" outlineLevel="0" collapsed="false">
      <c r="A514" s="22" t="n">
        <v>46532</v>
      </c>
      <c r="B514" s="23" t="str">
        <f aca="false">IFERROR(INDEX(Sprint!$A$2:$A$11,MATCH(A514,Sprint!$B$2:$B$11,1)),"")</f>
        <v>S5</v>
      </c>
      <c r="C514" s="6" t="s">
        <v>67</v>
      </c>
      <c r="D514" s="6" t="s">
        <v>244</v>
      </c>
      <c r="E514" s="7" t="n">
        <v>1</v>
      </c>
      <c r="F514" s="6"/>
    </row>
    <row r="515" customFormat="false" ht="15" hidden="false" customHeight="false" outlineLevel="0" collapsed="false">
      <c r="A515" s="22" t="n">
        <v>46532</v>
      </c>
      <c r="B515" s="23" t="str">
        <f aca="false">IFERROR(INDEX(Sprint!$A$2:$A$11,MATCH(A515,Sprint!$B$2:$B$11,1)),"")</f>
        <v>S5</v>
      </c>
      <c r="C515" s="6" t="s">
        <v>52</v>
      </c>
      <c r="D515" s="6" t="s">
        <v>238</v>
      </c>
      <c r="E515" s="7" t="n">
        <v>1</v>
      </c>
      <c r="F515" s="6"/>
    </row>
    <row r="516" customFormat="false" ht="15" hidden="false" customHeight="false" outlineLevel="0" collapsed="false">
      <c r="A516" s="22" t="n">
        <v>46532</v>
      </c>
      <c r="B516" s="23" t="str">
        <f aca="false">IFERROR(INDEX(Sprint!$A$2:$A$11,MATCH(A516,Sprint!$B$2:$B$11,1)),"")</f>
        <v>S5</v>
      </c>
      <c r="C516" s="6" t="s">
        <v>62</v>
      </c>
      <c r="D516" s="6" t="s">
        <v>242</v>
      </c>
      <c r="E516" s="7" t="n">
        <v>0.75</v>
      </c>
      <c r="F516" s="6"/>
    </row>
    <row r="517" customFormat="false" ht="15" hidden="false" customHeight="false" outlineLevel="0" collapsed="false">
      <c r="A517" s="22" t="n">
        <v>46532</v>
      </c>
      <c r="B517" s="23" t="str">
        <f aca="false">IFERROR(INDEX(Sprint!$A$2:$A$11,MATCH(A517,Sprint!$B$2:$B$11,1)),"")</f>
        <v>S5</v>
      </c>
      <c r="C517" s="6" t="s">
        <v>65</v>
      </c>
      <c r="D517" s="6" t="s">
        <v>228</v>
      </c>
      <c r="E517" s="7" t="n">
        <v>0.25</v>
      </c>
      <c r="F517" s="6"/>
    </row>
    <row r="518" customFormat="false" ht="15" hidden="false" customHeight="false" outlineLevel="0" collapsed="false">
      <c r="A518" s="22" t="n">
        <v>46532</v>
      </c>
      <c r="B518" s="23" t="str">
        <f aca="false">IFERROR(INDEX(Sprint!$A$2:$A$11,MATCH(A518,Sprint!$B$2:$B$11,1)),"")</f>
        <v>S5</v>
      </c>
      <c r="C518" s="6" t="s">
        <v>49</v>
      </c>
      <c r="D518" s="6" t="s">
        <v>241</v>
      </c>
      <c r="E518" s="7" t="n">
        <v>1</v>
      </c>
      <c r="F518" s="6"/>
    </row>
    <row r="519" customFormat="false" ht="15" hidden="false" customHeight="false" outlineLevel="0" collapsed="false">
      <c r="A519" s="22" t="n">
        <v>46532</v>
      </c>
      <c r="B519" s="23" t="str">
        <f aca="false">IFERROR(INDEX(Sprint!$A$2:$A$11,MATCH(A519,Sprint!$B$2:$B$11,1)),"")</f>
        <v>S5</v>
      </c>
      <c r="C519" s="6" t="s">
        <v>44</v>
      </c>
      <c r="D519" s="6" t="s">
        <v>235</v>
      </c>
      <c r="E519" s="7" t="n">
        <v>0.5</v>
      </c>
      <c r="F519" s="6"/>
    </row>
    <row r="520" customFormat="false" ht="15" hidden="false" customHeight="false" outlineLevel="0" collapsed="false">
      <c r="A520" s="22" t="n">
        <v>46532</v>
      </c>
      <c r="B520" s="23" t="str">
        <f aca="false">IFERROR(INDEX(Sprint!$A$2:$A$11,MATCH(A520,Sprint!$B$2:$B$11,1)),"")</f>
        <v>S5</v>
      </c>
      <c r="C520" s="6" t="s">
        <v>44</v>
      </c>
      <c r="D520" s="6" t="s">
        <v>233</v>
      </c>
      <c r="E520" s="7" t="n">
        <v>0.25</v>
      </c>
      <c r="F520" s="6"/>
    </row>
    <row r="521" customFormat="false" ht="15" hidden="false" customHeight="false" outlineLevel="0" collapsed="false">
      <c r="A521" s="22" t="n">
        <v>46532</v>
      </c>
      <c r="B521" s="23" t="str">
        <f aca="false">IFERROR(INDEX(Sprint!$A$2:$A$11,MATCH(A521,Sprint!$B$2:$B$11,1)),"")</f>
        <v>S5</v>
      </c>
      <c r="C521" s="6" t="s">
        <v>47</v>
      </c>
      <c r="D521" s="6" t="s">
        <v>239</v>
      </c>
      <c r="E521" s="7" t="n">
        <v>0.75</v>
      </c>
      <c r="F521" s="6"/>
    </row>
    <row r="522" customFormat="false" ht="15" hidden="false" customHeight="false" outlineLevel="0" collapsed="false">
      <c r="A522" s="22" t="n">
        <v>46532</v>
      </c>
      <c r="B522" s="23" t="str">
        <f aca="false">IFERROR(INDEX(Sprint!$A$2:$A$11,MATCH(A522,Sprint!$B$2:$B$11,1)),"")</f>
        <v>S5</v>
      </c>
      <c r="C522" s="6" t="s">
        <v>41</v>
      </c>
      <c r="D522" s="6" t="s">
        <v>233</v>
      </c>
      <c r="E522" s="7" t="n">
        <v>1</v>
      </c>
      <c r="F522" s="6"/>
    </row>
    <row r="523" customFormat="false" ht="15" hidden="false" customHeight="false" outlineLevel="0" collapsed="false">
      <c r="A523" s="22" t="n">
        <v>46533</v>
      </c>
      <c r="B523" s="23" t="str">
        <f aca="false">IFERROR(INDEX(Sprint!$A$2:$A$11,MATCH(A523,Sprint!$B$2:$B$11,1)),"")</f>
        <v>S5</v>
      </c>
      <c r="C523" s="6" t="s">
        <v>56</v>
      </c>
      <c r="D523" s="6" t="s">
        <v>237</v>
      </c>
      <c r="E523" s="7" t="n">
        <v>0.75</v>
      </c>
      <c r="F523" s="6"/>
    </row>
    <row r="524" customFormat="false" ht="15" hidden="false" customHeight="false" outlineLevel="0" collapsed="false">
      <c r="A524" s="22" t="n">
        <v>46533</v>
      </c>
      <c r="B524" s="23" t="str">
        <f aca="false">IFERROR(INDEX(Sprint!$A$2:$A$11,MATCH(A524,Sprint!$B$2:$B$11,1)),"")</f>
        <v>S5</v>
      </c>
      <c r="C524" s="6" t="s">
        <v>58</v>
      </c>
      <c r="D524" s="6" t="s">
        <v>246</v>
      </c>
      <c r="E524" s="7" t="n">
        <v>0.25</v>
      </c>
      <c r="F524" s="6"/>
    </row>
    <row r="525" customFormat="false" ht="15" hidden="false" customHeight="false" outlineLevel="0" collapsed="false">
      <c r="A525" s="22" t="n">
        <v>46533</v>
      </c>
      <c r="B525" s="23" t="str">
        <f aca="false">IFERROR(INDEX(Sprint!$A$2:$A$11,MATCH(A525,Sprint!$B$2:$B$11,1)),"")</f>
        <v>S5</v>
      </c>
      <c r="C525" s="6" t="s">
        <v>58</v>
      </c>
      <c r="D525" s="6" t="s">
        <v>247</v>
      </c>
      <c r="E525" s="7" t="n">
        <v>0.75</v>
      </c>
      <c r="F525" s="6"/>
    </row>
    <row r="526" customFormat="false" ht="15" hidden="false" customHeight="false" outlineLevel="0" collapsed="false">
      <c r="A526" s="22" t="n">
        <v>46533</v>
      </c>
      <c r="B526" s="23" t="str">
        <f aca="false">IFERROR(INDEX(Sprint!$A$2:$A$11,MATCH(A526,Sprint!$B$2:$B$11,1)),"")</f>
        <v>S5</v>
      </c>
      <c r="C526" s="6" t="s">
        <v>60</v>
      </c>
      <c r="D526" s="6" t="s">
        <v>243</v>
      </c>
      <c r="E526" s="7" t="n">
        <v>1</v>
      </c>
      <c r="F526" s="6"/>
    </row>
    <row r="527" customFormat="false" ht="15" hidden="false" customHeight="false" outlineLevel="0" collapsed="false">
      <c r="A527" s="22" t="n">
        <v>46533</v>
      </c>
      <c r="B527" s="23" t="str">
        <f aca="false">IFERROR(INDEX(Sprint!$A$2:$A$11,MATCH(A527,Sprint!$B$2:$B$11,1)),"")</f>
        <v>S5</v>
      </c>
      <c r="C527" s="6" t="s">
        <v>67</v>
      </c>
      <c r="D527" s="6" t="s">
        <v>244</v>
      </c>
      <c r="E527" s="7" t="n">
        <v>1</v>
      </c>
      <c r="F527" s="6"/>
    </row>
    <row r="528" customFormat="false" ht="15" hidden="false" customHeight="false" outlineLevel="0" collapsed="false">
      <c r="A528" s="22" t="n">
        <v>46533</v>
      </c>
      <c r="B528" s="23" t="str">
        <f aca="false">IFERROR(INDEX(Sprint!$A$2:$A$11,MATCH(A528,Sprint!$B$2:$B$11,1)),"")</f>
        <v>S5</v>
      </c>
      <c r="C528" s="6" t="s">
        <v>52</v>
      </c>
      <c r="D528" s="6" t="s">
        <v>238</v>
      </c>
      <c r="E528" s="7" t="n">
        <v>0.25</v>
      </c>
      <c r="F528" s="6"/>
    </row>
    <row r="529" customFormat="false" ht="15" hidden="false" customHeight="false" outlineLevel="0" collapsed="false">
      <c r="A529" s="22" t="n">
        <v>46533</v>
      </c>
      <c r="B529" s="23" t="str">
        <f aca="false">IFERROR(INDEX(Sprint!$A$2:$A$11,MATCH(A529,Sprint!$B$2:$B$11,1)),"")</f>
        <v>S5</v>
      </c>
      <c r="C529" s="6" t="s">
        <v>62</v>
      </c>
      <c r="D529" s="6" t="s">
        <v>242</v>
      </c>
      <c r="E529" s="7" t="n">
        <v>1</v>
      </c>
      <c r="F529" s="6"/>
    </row>
    <row r="530" customFormat="false" ht="15" hidden="false" customHeight="false" outlineLevel="0" collapsed="false">
      <c r="A530" s="22" t="n">
        <v>46533</v>
      </c>
      <c r="B530" s="23" t="str">
        <f aca="false">IFERROR(INDEX(Sprint!$A$2:$A$11,MATCH(A530,Sprint!$B$2:$B$11,1)),"")</f>
        <v>S5</v>
      </c>
      <c r="C530" s="6" t="s">
        <v>37</v>
      </c>
      <c r="D530" s="6" t="s">
        <v>168</v>
      </c>
      <c r="E530" s="7" t="n">
        <v>0.25</v>
      </c>
      <c r="F530" s="6"/>
    </row>
    <row r="531" customFormat="false" ht="15" hidden="false" customHeight="false" outlineLevel="0" collapsed="false">
      <c r="A531" s="22" t="n">
        <v>46533</v>
      </c>
      <c r="B531" s="23" t="str">
        <f aca="false">IFERROR(INDEX(Sprint!$A$2:$A$11,MATCH(A531,Sprint!$B$2:$B$11,1)),"")</f>
        <v>S5</v>
      </c>
      <c r="C531" s="6" t="s">
        <v>37</v>
      </c>
      <c r="D531" s="6" t="s">
        <v>175</v>
      </c>
      <c r="E531" s="7" t="n">
        <v>0.25</v>
      </c>
      <c r="F531" s="6"/>
    </row>
    <row r="532" customFormat="false" ht="15" hidden="false" customHeight="false" outlineLevel="0" collapsed="false">
      <c r="A532" s="22" t="n">
        <v>46533</v>
      </c>
      <c r="B532" s="23" t="str">
        <f aca="false">IFERROR(INDEX(Sprint!$A$2:$A$11,MATCH(A532,Sprint!$B$2:$B$11,1)),"")</f>
        <v>S5</v>
      </c>
      <c r="C532" s="6" t="s">
        <v>37</v>
      </c>
      <c r="D532" s="6" t="s">
        <v>185</v>
      </c>
      <c r="E532" s="7" t="n">
        <v>0.25</v>
      </c>
      <c r="F532" s="6"/>
    </row>
    <row r="533" customFormat="false" ht="15" hidden="false" customHeight="false" outlineLevel="0" collapsed="false">
      <c r="A533" s="22" t="n">
        <v>46533</v>
      </c>
      <c r="B533" s="23" t="str">
        <f aca="false">IFERROR(INDEX(Sprint!$A$2:$A$11,MATCH(A533,Sprint!$B$2:$B$11,1)),"")</f>
        <v>S5</v>
      </c>
      <c r="C533" s="6" t="s">
        <v>49</v>
      </c>
      <c r="D533" s="6" t="s">
        <v>241</v>
      </c>
      <c r="E533" s="7" t="n">
        <v>0.75</v>
      </c>
      <c r="F533" s="6"/>
    </row>
    <row r="534" customFormat="false" ht="15" hidden="false" customHeight="false" outlineLevel="0" collapsed="false">
      <c r="A534" s="22" t="n">
        <v>46533</v>
      </c>
      <c r="B534" s="23" t="str">
        <f aca="false">IFERROR(INDEX(Sprint!$A$2:$A$11,MATCH(A534,Sprint!$B$2:$B$11,1)),"")</f>
        <v>S5</v>
      </c>
      <c r="C534" s="6" t="s">
        <v>44</v>
      </c>
      <c r="D534" s="6" t="s">
        <v>235</v>
      </c>
      <c r="E534" s="7" t="n">
        <v>0.5</v>
      </c>
      <c r="F534" s="6"/>
    </row>
    <row r="535" customFormat="false" ht="15" hidden="false" customHeight="false" outlineLevel="0" collapsed="false">
      <c r="A535" s="22" t="n">
        <v>46533</v>
      </c>
      <c r="B535" s="23" t="str">
        <f aca="false">IFERROR(INDEX(Sprint!$A$2:$A$11,MATCH(A535,Sprint!$B$2:$B$11,1)),"")</f>
        <v>S5</v>
      </c>
      <c r="C535" s="6" t="s">
        <v>47</v>
      </c>
      <c r="D535" s="6" t="s">
        <v>239</v>
      </c>
      <c r="E535" s="7" t="n">
        <v>0.75</v>
      </c>
      <c r="F535" s="6"/>
    </row>
    <row r="536" customFormat="false" ht="15" hidden="false" customHeight="false" outlineLevel="0" collapsed="false">
      <c r="A536" s="22" t="n">
        <v>46533</v>
      </c>
      <c r="B536" s="23" t="str">
        <f aca="false">IFERROR(INDEX(Sprint!$A$2:$A$11,MATCH(A536,Sprint!$B$2:$B$11,1)),"")</f>
        <v>S5</v>
      </c>
      <c r="C536" s="6" t="s">
        <v>41</v>
      </c>
      <c r="D536" s="6" t="s">
        <v>246</v>
      </c>
      <c r="E536" s="7" t="n">
        <v>0.5</v>
      </c>
      <c r="F536" s="6"/>
    </row>
    <row r="537" customFormat="false" ht="15" hidden="false" customHeight="false" outlineLevel="0" collapsed="false">
      <c r="A537" s="22" t="n">
        <v>46533</v>
      </c>
      <c r="B537" s="23" t="str">
        <f aca="false">IFERROR(INDEX(Sprint!$A$2:$A$11,MATCH(A537,Sprint!$B$2:$B$11,1)),"")</f>
        <v>S5</v>
      </c>
      <c r="C537" s="6" t="s">
        <v>41</v>
      </c>
      <c r="D537" s="6" t="s">
        <v>233</v>
      </c>
      <c r="E537" s="7" t="n">
        <v>0.5</v>
      </c>
      <c r="F537" s="6"/>
    </row>
    <row r="538" customFormat="false" ht="15" hidden="false" customHeight="false" outlineLevel="0" collapsed="false">
      <c r="A538" s="22" t="n">
        <v>46534</v>
      </c>
      <c r="B538" s="23" t="str">
        <f aca="false">IFERROR(INDEX(Sprint!$A$2:$A$11,MATCH(A538,Sprint!$B$2:$B$11,1)),"")</f>
        <v>S5</v>
      </c>
      <c r="C538" s="6" t="s">
        <v>56</v>
      </c>
      <c r="D538" s="6" t="s">
        <v>237</v>
      </c>
      <c r="E538" s="7" t="n">
        <v>0.5</v>
      </c>
      <c r="F538" s="6"/>
    </row>
    <row r="539" customFormat="false" ht="15" hidden="false" customHeight="false" outlineLevel="0" collapsed="false">
      <c r="A539" s="22" t="n">
        <v>46534</v>
      </c>
      <c r="B539" s="23" t="str">
        <f aca="false">IFERROR(INDEX(Sprint!$A$2:$A$11,MATCH(A539,Sprint!$B$2:$B$11,1)),"")</f>
        <v>S5</v>
      </c>
      <c r="C539" s="6" t="s">
        <v>58</v>
      </c>
      <c r="D539" s="6" t="s">
        <v>246</v>
      </c>
      <c r="E539" s="7" t="n">
        <v>0.5</v>
      </c>
      <c r="F539" s="6"/>
    </row>
    <row r="540" customFormat="false" ht="15" hidden="false" customHeight="false" outlineLevel="0" collapsed="false">
      <c r="A540" s="22" t="n">
        <v>46534</v>
      </c>
      <c r="B540" s="23" t="str">
        <f aca="false">IFERROR(INDEX(Sprint!$A$2:$A$11,MATCH(A540,Sprint!$B$2:$B$11,1)),"")</f>
        <v>S5</v>
      </c>
      <c r="C540" s="6" t="s">
        <v>58</v>
      </c>
      <c r="D540" s="6" t="s">
        <v>247</v>
      </c>
      <c r="E540" s="7" t="n">
        <v>0.5</v>
      </c>
      <c r="F540" s="6"/>
    </row>
    <row r="541" customFormat="false" ht="15" hidden="false" customHeight="false" outlineLevel="0" collapsed="false">
      <c r="A541" s="22" t="n">
        <v>46534</v>
      </c>
      <c r="B541" s="23" t="str">
        <f aca="false">IFERROR(INDEX(Sprint!$A$2:$A$11,MATCH(A541,Sprint!$B$2:$B$11,1)),"")</f>
        <v>S5</v>
      </c>
      <c r="C541" s="6" t="s">
        <v>60</v>
      </c>
      <c r="D541" s="6" t="s">
        <v>243</v>
      </c>
      <c r="E541" s="7" t="n">
        <v>1</v>
      </c>
      <c r="F541" s="6"/>
    </row>
    <row r="542" customFormat="false" ht="15" hidden="false" customHeight="false" outlineLevel="0" collapsed="false">
      <c r="A542" s="22" t="n">
        <v>46534</v>
      </c>
      <c r="B542" s="23" t="str">
        <f aca="false">IFERROR(INDEX(Sprint!$A$2:$A$11,MATCH(A542,Sprint!$B$2:$B$11,1)),"")</f>
        <v>S5</v>
      </c>
      <c r="C542" s="6" t="s">
        <v>67</v>
      </c>
      <c r="D542" s="6" t="s">
        <v>248</v>
      </c>
      <c r="E542" s="7" t="n">
        <v>1</v>
      </c>
      <c r="F542" s="6"/>
    </row>
    <row r="543" customFormat="false" ht="15" hidden="false" customHeight="false" outlineLevel="0" collapsed="false">
      <c r="A543" s="22" t="n">
        <v>46534</v>
      </c>
      <c r="B543" s="23" t="str">
        <f aca="false">IFERROR(INDEX(Sprint!$A$2:$A$11,MATCH(A543,Sprint!$B$2:$B$11,1)),"")</f>
        <v>S5</v>
      </c>
      <c r="C543" s="6" t="s">
        <v>52</v>
      </c>
      <c r="D543" s="6" t="s">
        <v>238</v>
      </c>
      <c r="E543" s="7" t="n">
        <v>0.25</v>
      </c>
      <c r="F543" s="6"/>
    </row>
    <row r="544" customFormat="false" ht="15" hidden="false" customHeight="false" outlineLevel="0" collapsed="false">
      <c r="A544" s="22" t="n">
        <v>46534</v>
      </c>
      <c r="B544" s="23" t="str">
        <f aca="false">IFERROR(INDEX(Sprint!$A$2:$A$11,MATCH(A544,Sprint!$B$2:$B$11,1)),"")</f>
        <v>S5</v>
      </c>
      <c r="C544" s="6" t="s">
        <v>62</v>
      </c>
      <c r="D544" s="6" t="s">
        <v>242</v>
      </c>
      <c r="E544" s="7" t="n">
        <v>0.75</v>
      </c>
      <c r="F544" s="6"/>
    </row>
    <row r="545" customFormat="false" ht="15" hidden="false" customHeight="false" outlineLevel="0" collapsed="false">
      <c r="A545" s="22" t="n">
        <v>46534</v>
      </c>
      <c r="B545" s="23" t="str">
        <f aca="false">IFERROR(INDEX(Sprint!$A$2:$A$11,MATCH(A545,Sprint!$B$2:$B$11,1)),"")</f>
        <v>S5</v>
      </c>
      <c r="C545" s="6" t="s">
        <v>65</v>
      </c>
      <c r="D545" s="6" t="s">
        <v>249</v>
      </c>
      <c r="E545" s="7" t="n">
        <v>1</v>
      </c>
      <c r="F545" s="6"/>
    </row>
    <row r="546" customFormat="false" ht="15" hidden="false" customHeight="false" outlineLevel="0" collapsed="false">
      <c r="A546" s="22" t="n">
        <v>46534</v>
      </c>
      <c r="B546" s="23" t="str">
        <f aca="false">IFERROR(INDEX(Sprint!$A$2:$A$11,MATCH(A546,Sprint!$B$2:$B$11,1)),"")</f>
        <v>S5</v>
      </c>
      <c r="C546" s="6" t="s">
        <v>37</v>
      </c>
      <c r="D546" s="6" t="s">
        <v>245</v>
      </c>
      <c r="E546" s="7" t="n">
        <v>0.25</v>
      </c>
      <c r="F546" s="6"/>
    </row>
    <row r="547" customFormat="false" ht="15" hidden="false" customHeight="false" outlineLevel="0" collapsed="false">
      <c r="A547" s="22" t="n">
        <v>46534</v>
      </c>
      <c r="B547" s="23" t="str">
        <f aca="false">IFERROR(INDEX(Sprint!$A$2:$A$11,MATCH(A547,Sprint!$B$2:$B$11,1)),"")</f>
        <v>S5</v>
      </c>
      <c r="C547" s="6" t="s">
        <v>49</v>
      </c>
      <c r="D547" s="6" t="s">
        <v>241</v>
      </c>
      <c r="E547" s="7" t="n">
        <v>1</v>
      </c>
      <c r="F547" s="6"/>
    </row>
    <row r="548" customFormat="false" ht="15" hidden="false" customHeight="false" outlineLevel="0" collapsed="false">
      <c r="A548" s="22" t="n">
        <v>46534</v>
      </c>
      <c r="B548" s="23" t="str">
        <f aca="false">IFERROR(INDEX(Sprint!$A$2:$A$11,MATCH(A548,Sprint!$B$2:$B$11,1)),"")</f>
        <v>S5</v>
      </c>
      <c r="C548" s="6" t="s">
        <v>44</v>
      </c>
      <c r="D548" s="6" t="s">
        <v>235</v>
      </c>
      <c r="E548" s="7" t="n">
        <v>0.5</v>
      </c>
      <c r="F548" s="6"/>
    </row>
    <row r="549" customFormat="false" ht="15" hidden="false" customHeight="false" outlineLevel="0" collapsed="false">
      <c r="A549" s="22" t="n">
        <v>46534</v>
      </c>
      <c r="B549" s="23" t="str">
        <f aca="false">IFERROR(INDEX(Sprint!$A$2:$A$11,MATCH(A549,Sprint!$B$2:$B$11,1)),"")</f>
        <v>S5</v>
      </c>
      <c r="C549" s="6" t="s">
        <v>44</v>
      </c>
      <c r="D549" s="6" t="s">
        <v>250</v>
      </c>
      <c r="E549" s="7" t="n">
        <v>0.5</v>
      </c>
      <c r="F549" s="6"/>
    </row>
    <row r="550" customFormat="false" ht="15" hidden="false" customHeight="false" outlineLevel="0" collapsed="false">
      <c r="A550" s="22" t="n">
        <v>46534</v>
      </c>
      <c r="B550" s="23" t="str">
        <f aca="false">IFERROR(INDEX(Sprint!$A$2:$A$11,MATCH(A550,Sprint!$B$2:$B$11,1)),"")</f>
        <v>S5</v>
      </c>
      <c r="C550" s="6" t="s">
        <v>47</v>
      </c>
      <c r="D550" s="6" t="s">
        <v>250</v>
      </c>
      <c r="E550" s="7" t="n">
        <v>0.75</v>
      </c>
      <c r="F550" s="6"/>
    </row>
    <row r="551" customFormat="false" ht="15" hidden="false" customHeight="false" outlineLevel="0" collapsed="false">
      <c r="A551" s="22" t="n">
        <v>46534</v>
      </c>
      <c r="B551" s="23" t="str">
        <f aca="false">IFERROR(INDEX(Sprint!$A$2:$A$11,MATCH(A551,Sprint!$B$2:$B$11,1)),"")</f>
        <v>S5</v>
      </c>
      <c r="C551" s="6" t="s">
        <v>41</v>
      </c>
      <c r="D551" s="6" t="s">
        <v>246</v>
      </c>
      <c r="E551" s="7" t="n">
        <v>1</v>
      </c>
      <c r="F551" s="6"/>
    </row>
    <row r="552" customFormat="false" ht="15" hidden="false" customHeight="false" outlineLevel="0" collapsed="false">
      <c r="A552" s="22" t="n">
        <v>46535</v>
      </c>
      <c r="B552" s="23" t="str">
        <f aca="false">IFERROR(INDEX(Sprint!$A$2:$A$11,MATCH(A552,Sprint!$B$2:$B$11,1)),"")</f>
        <v>S5</v>
      </c>
      <c r="C552" s="6" t="s">
        <v>58</v>
      </c>
      <c r="D552" s="6" t="s">
        <v>246</v>
      </c>
      <c r="E552" s="7" t="n">
        <v>0.25</v>
      </c>
      <c r="F552" s="6"/>
    </row>
    <row r="553" customFormat="false" ht="15" hidden="false" customHeight="false" outlineLevel="0" collapsed="false">
      <c r="A553" s="22" t="n">
        <v>46535</v>
      </c>
      <c r="B553" s="23" t="str">
        <f aca="false">IFERROR(INDEX(Sprint!$A$2:$A$11,MATCH(A553,Sprint!$B$2:$B$11,1)),"")</f>
        <v>S5</v>
      </c>
      <c r="C553" s="6" t="s">
        <v>58</v>
      </c>
      <c r="D553" s="6" t="s">
        <v>247</v>
      </c>
      <c r="E553" s="7" t="n">
        <v>0.75</v>
      </c>
      <c r="F553" s="6"/>
    </row>
    <row r="554" customFormat="false" ht="15" hidden="false" customHeight="false" outlineLevel="0" collapsed="false">
      <c r="A554" s="22" t="n">
        <v>46535</v>
      </c>
      <c r="B554" s="23" t="str">
        <f aca="false">IFERROR(INDEX(Sprint!$A$2:$A$11,MATCH(A554,Sprint!$B$2:$B$11,1)),"")</f>
        <v>S5</v>
      </c>
      <c r="C554" s="6" t="s">
        <v>60</v>
      </c>
      <c r="D554" s="6" t="s">
        <v>243</v>
      </c>
      <c r="E554" s="7" t="n">
        <v>1</v>
      </c>
      <c r="F554" s="6"/>
    </row>
    <row r="555" customFormat="false" ht="15" hidden="false" customHeight="false" outlineLevel="0" collapsed="false">
      <c r="A555" s="22" t="n">
        <v>46535</v>
      </c>
      <c r="B555" s="23" t="str">
        <f aca="false">IFERROR(INDEX(Sprint!$A$2:$A$11,MATCH(A555,Sprint!$B$2:$B$11,1)),"")</f>
        <v>S5</v>
      </c>
      <c r="C555" s="6" t="s">
        <v>67</v>
      </c>
      <c r="D555" s="6" t="s">
        <v>248</v>
      </c>
      <c r="E555" s="7" t="n">
        <v>1</v>
      </c>
      <c r="F555" s="6"/>
    </row>
    <row r="556" customFormat="false" ht="15" hidden="false" customHeight="false" outlineLevel="0" collapsed="false">
      <c r="A556" s="22" t="n">
        <v>46535</v>
      </c>
      <c r="B556" s="23" t="str">
        <f aca="false">IFERROR(INDEX(Sprint!$A$2:$A$11,MATCH(A556,Sprint!$B$2:$B$11,1)),"")</f>
        <v>S5</v>
      </c>
      <c r="C556" s="6" t="s">
        <v>62</v>
      </c>
      <c r="D556" s="6" t="s">
        <v>242</v>
      </c>
      <c r="E556" s="7" t="n">
        <v>1</v>
      </c>
      <c r="F556" s="6"/>
    </row>
    <row r="557" customFormat="false" ht="15" hidden="false" customHeight="false" outlineLevel="0" collapsed="false">
      <c r="A557" s="22" t="n">
        <v>46535</v>
      </c>
      <c r="B557" s="23" t="str">
        <f aca="false">IFERROR(INDEX(Sprint!$A$2:$A$11,MATCH(A557,Sprint!$B$2:$B$11,1)),"")</f>
        <v>S5</v>
      </c>
      <c r="C557" s="6" t="s">
        <v>65</v>
      </c>
      <c r="D557" s="6" t="s">
        <v>249</v>
      </c>
      <c r="E557" s="7" t="n">
        <v>1</v>
      </c>
      <c r="F557" s="6"/>
    </row>
    <row r="558" customFormat="false" ht="15" hidden="false" customHeight="false" outlineLevel="0" collapsed="false">
      <c r="A558" s="22" t="n">
        <v>46535</v>
      </c>
      <c r="B558" s="23" t="str">
        <f aca="false">IFERROR(INDEX(Sprint!$A$2:$A$11,MATCH(A558,Sprint!$B$2:$B$11,1)),"")</f>
        <v>S5</v>
      </c>
      <c r="C558" s="6" t="s">
        <v>49</v>
      </c>
      <c r="D558" s="6" t="s">
        <v>241</v>
      </c>
      <c r="E558" s="7" t="n">
        <v>0.75</v>
      </c>
      <c r="F558" s="6"/>
    </row>
    <row r="559" customFormat="false" ht="15" hidden="false" customHeight="false" outlineLevel="0" collapsed="false">
      <c r="A559" s="22" t="n">
        <v>46535</v>
      </c>
      <c r="B559" s="23" t="str">
        <f aca="false">IFERROR(INDEX(Sprint!$A$2:$A$11,MATCH(A559,Sprint!$B$2:$B$11,1)),"")</f>
        <v>S5</v>
      </c>
      <c r="C559" s="6" t="s">
        <v>44</v>
      </c>
      <c r="D559" s="6" t="s">
        <v>250</v>
      </c>
      <c r="E559" s="7" t="n">
        <v>1</v>
      </c>
      <c r="F559" s="6"/>
    </row>
    <row r="560" customFormat="false" ht="15" hidden="false" customHeight="false" outlineLevel="0" collapsed="false">
      <c r="A560" s="22" t="n">
        <v>46535</v>
      </c>
      <c r="B560" s="23" t="str">
        <f aca="false">IFERROR(INDEX(Sprint!$A$2:$A$11,MATCH(A560,Sprint!$B$2:$B$11,1)),"")</f>
        <v>S5</v>
      </c>
      <c r="C560" s="6" t="s">
        <v>47</v>
      </c>
      <c r="D560" s="6" t="s">
        <v>250</v>
      </c>
      <c r="E560" s="7" t="n">
        <v>0.75</v>
      </c>
      <c r="F560" s="6"/>
    </row>
    <row r="561" customFormat="false" ht="15" hidden="false" customHeight="false" outlineLevel="0" collapsed="false">
      <c r="A561" s="22" t="n">
        <v>46535</v>
      </c>
      <c r="B561" s="23" t="str">
        <f aca="false">IFERROR(INDEX(Sprint!$A$2:$A$11,MATCH(A561,Sprint!$B$2:$B$11,1)),"")</f>
        <v>S5</v>
      </c>
      <c r="C561" s="6" t="s">
        <v>41</v>
      </c>
      <c r="D561" s="6" t="s">
        <v>246</v>
      </c>
      <c r="E561" s="7" t="n">
        <v>0.25</v>
      </c>
      <c r="F561" s="6"/>
    </row>
    <row r="562" customFormat="false" ht="15" hidden="false" customHeight="false" outlineLevel="0" collapsed="false">
      <c r="A562" s="22" t="n">
        <v>46535</v>
      </c>
      <c r="B562" s="23" t="str">
        <f aca="false">IFERROR(INDEX(Sprint!$A$2:$A$11,MATCH(A562,Sprint!$B$2:$B$11,1)),"")</f>
        <v>S5</v>
      </c>
      <c r="C562" s="6" t="s">
        <v>41</v>
      </c>
      <c r="D562" s="6" t="s">
        <v>238</v>
      </c>
      <c r="E562" s="7" t="n">
        <v>0.75</v>
      </c>
      <c r="F562" s="6"/>
    </row>
    <row r="563" customFormat="false" ht="15" hidden="false" customHeight="false" outlineLevel="0" collapsed="false">
      <c r="A563" s="22" t="n">
        <v>46538</v>
      </c>
      <c r="B563" s="23" t="str">
        <f aca="false">IFERROR(INDEX(Sprint!$A$2:$A$11,MATCH(A563,Sprint!$B$2:$B$11,1)),"")</f>
        <v>S5</v>
      </c>
      <c r="C563" s="6" t="s">
        <v>56</v>
      </c>
      <c r="D563" s="6" t="s">
        <v>251</v>
      </c>
      <c r="E563" s="7" t="n">
        <v>1</v>
      </c>
      <c r="F563" s="6"/>
    </row>
    <row r="564" customFormat="false" ht="15" hidden="false" customHeight="false" outlineLevel="0" collapsed="false">
      <c r="A564" s="22" t="n">
        <v>46538</v>
      </c>
      <c r="B564" s="23" t="str">
        <f aca="false">IFERROR(INDEX(Sprint!$A$2:$A$11,MATCH(A564,Sprint!$B$2:$B$11,1)),"")</f>
        <v>S5</v>
      </c>
      <c r="C564" s="6" t="s">
        <v>58</v>
      </c>
      <c r="D564" s="6" t="s">
        <v>246</v>
      </c>
      <c r="E564" s="7" t="n">
        <v>0.5</v>
      </c>
      <c r="F564" s="6"/>
    </row>
    <row r="565" customFormat="false" ht="15" hidden="false" customHeight="false" outlineLevel="0" collapsed="false">
      <c r="A565" s="22" t="n">
        <v>46538</v>
      </c>
      <c r="B565" s="23" t="str">
        <f aca="false">IFERROR(INDEX(Sprint!$A$2:$A$11,MATCH(A565,Sprint!$B$2:$B$11,1)),"")</f>
        <v>S5</v>
      </c>
      <c r="C565" s="6" t="s">
        <v>58</v>
      </c>
      <c r="D565" s="6" t="s">
        <v>247</v>
      </c>
      <c r="E565" s="7" t="n">
        <v>0.5</v>
      </c>
      <c r="F565" s="6"/>
    </row>
    <row r="566" customFormat="false" ht="15" hidden="false" customHeight="false" outlineLevel="0" collapsed="false">
      <c r="A566" s="22" t="n">
        <v>46538</v>
      </c>
      <c r="B566" s="23" t="str">
        <f aca="false">IFERROR(INDEX(Sprint!$A$2:$A$11,MATCH(A566,Sprint!$B$2:$B$11,1)),"")</f>
        <v>S5</v>
      </c>
      <c r="C566" s="6" t="s">
        <v>60</v>
      </c>
      <c r="D566" s="6" t="s">
        <v>243</v>
      </c>
      <c r="E566" s="7" t="n">
        <v>1</v>
      </c>
      <c r="F566" s="6"/>
    </row>
    <row r="567" customFormat="false" ht="15" hidden="false" customHeight="false" outlineLevel="0" collapsed="false">
      <c r="A567" s="22" t="n">
        <v>46538</v>
      </c>
      <c r="B567" s="23" t="str">
        <f aca="false">IFERROR(INDEX(Sprint!$A$2:$A$11,MATCH(A567,Sprint!$B$2:$B$11,1)),"")</f>
        <v>S5</v>
      </c>
      <c r="C567" s="6" t="s">
        <v>67</v>
      </c>
      <c r="D567" s="6" t="s">
        <v>248</v>
      </c>
      <c r="E567" s="7" t="n">
        <v>1</v>
      </c>
      <c r="F567" s="6"/>
    </row>
    <row r="568" customFormat="false" ht="15" hidden="false" customHeight="false" outlineLevel="0" collapsed="false">
      <c r="A568" s="22" t="n">
        <v>46538</v>
      </c>
      <c r="B568" s="23" t="str">
        <f aca="false">IFERROR(INDEX(Sprint!$A$2:$A$11,MATCH(A568,Sprint!$B$2:$B$11,1)),"")</f>
        <v>S5</v>
      </c>
      <c r="C568" s="6" t="s">
        <v>62</v>
      </c>
      <c r="D568" s="6" t="s">
        <v>242</v>
      </c>
      <c r="E568" s="7" t="n">
        <v>1</v>
      </c>
      <c r="F568" s="6"/>
    </row>
    <row r="569" customFormat="false" ht="15" hidden="false" customHeight="false" outlineLevel="0" collapsed="false">
      <c r="A569" s="22" t="n">
        <v>46538</v>
      </c>
      <c r="B569" s="23" t="str">
        <f aca="false">IFERROR(INDEX(Sprint!$A$2:$A$11,MATCH(A569,Sprint!$B$2:$B$11,1)),"")</f>
        <v>S5</v>
      </c>
      <c r="C569" s="6" t="s">
        <v>65</v>
      </c>
      <c r="D569" s="6" t="s">
        <v>249</v>
      </c>
      <c r="E569" s="7" t="n">
        <v>1</v>
      </c>
      <c r="F569" s="6"/>
    </row>
    <row r="570" customFormat="false" ht="15" hidden="false" customHeight="false" outlineLevel="0" collapsed="false">
      <c r="A570" s="22" t="n">
        <v>46538</v>
      </c>
      <c r="B570" s="23" t="str">
        <f aca="false">IFERROR(INDEX(Sprint!$A$2:$A$11,MATCH(A570,Sprint!$B$2:$B$11,1)),"")</f>
        <v>S5</v>
      </c>
      <c r="C570" s="6" t="s">
        <v>44</v>
      </c>
      <c r="D570" s="6" t="s">
        <v>250</v>
      </c>
      <c r="E570" s="7" t="n">
        <v>0.75</v>
      </c>
      <c r="F570" s="6"/>
    </row>
    <row r="571" customFormat="false" ht="15" hidden="false" customHeight="false" outlineLevel="0" collapsed="false">
      <c r="A571" s="22" t="n">
        <v>46538</v>
      </c>
      <c r="B571" s="23" t="str">
        <f aca="false">IFERROR(INDEX(Sprint!$A$2:$A$11,MATCH(A571,Sprint!$B$2:$B$11,1)),"")</f>
        <v>S5</v>
      </c>
      <c r="C571" s="6" t="s">
        <v>47</v>
      </c>
      <c r="D571" s="6" t="s">
        <v>250</v>
      </c>
      <c r="E571" s="7" t="n">
        <v>0.75</v>
      </c>
      <c r="F571" s="6"/>
    </row>
    <row r="572" customFormat="false" ht="15" hidden="false" customHeight="false" outlineLevel="0" collapsed="false">
      <c r="A572" s="22" t="n">
        <v>46538</v>
      </c>
      <c r="B572" s="23" t="str">
        <f aca="false">IFERROR(INDEX(Sprint!$A$2:$A$11,MATCH(A572,Sprint!$B$2:$B$11,1)),"")</f>
        <v>S5</v>
      </c>
      <c r="C572" s="6" t="s">
        <v>41</v>
      </c>
      <c r="D572" s="6" t="s">
        <v>246</v>
      </c>
      <c r="E572" s="7" t="n">
        <v>0.5</v>
      </c>
      <c r="F572" s="6"/>
    </row>
    <row r="573" customFormat="false" ht="15" hidden="false" customHeight="false" outlineLevel="0" collapsed="false">
      <c r="A573" s="22" t="n">
        <v>46538</v>
      </c>
      <c r="B573" s="23" t="str">
        <f aca="false">IFERROR(INDEX(Sprint!$A$2:$A$11,MATCH(A573,Sprint!$B$2:$B$11,1)),"")</f>
        <v>S5</v>
      </c>
      <c r="C573" s="6" t="s">
        <v>41</v>
      </c>
      <c r="D573" s="6" t="s">
        <v>238</v>
      </c>
      <c r="E573" s="7" t="n">
        <v>0.5</v>
      </c>
      <c r="F573" s="6"/>
    </row>
    <row r="574" customFormat="false" ht="15" hidden="false" customHeight="false" outlineLevel="0" collapsed="false">
      <c r="A574" s="22" t="n">
        <v>46539</v>
      </c>
      <c r="B574" s="23" t="str">
        <f aca="false">IFERROR(INDEX(Sprint!$A$2:$A$11,MATCH(A574,Sprint!$B$2:$B$11,1)),"")</f>
        <v>S5</v>
      </c>
      <c r="C574" s="6" t="s">
        <v>56</v>
      </c>
      <c r="D574" s="6" t="s">
        <v>251</v>
      </c>
      <c r="E574" s="7" t="n">
        <v>1</v>
      </c>
      <c r="F574" s="6"/>
    </row>
    <row r="575" customFormat="false" ht="15" hidden="false" customHeight="false" outlineLevel="0" collapsed="false">
      <c r="A575" s="22" t="n">
        <v>46539</v>
      </c>
      <c r="B575" s="23" t="str">
        <f aca="false">IFERROR(INDEX(Sprint!$A$2:$A$11,MATCH(A575,Sprint!$B$2:$B$11,1)),"")</f>
        <v>S5</v>
      </c>
      <c r="C575" s="6" t="s">
        <v>58</v>
      </c>
      <c r="D575" s="6" t="s">
        <v>247</v>
      </c>
      <c r="E575" s="7" t="n">
        <v>1</v>
      </c>
      <c r="F575" s="6"/>
    </row>
    <row r="576" customFormat="false" ht="15" hidden="false" customHeight="false" outlineLevel="0" collapsed="false">
      <c r="A576" s="22" t="n">
        <v>46539</v>
      </c>
      <c r="B576" s="23" t="str">
        <f aca="false">IFERROR(INDEX(Sprint!$A$2:$A$11,MATCH(A576,Sprint!$B$2:$B$11,1)),"")</f>
        <v>S5</v>
      </c>
      <c r="C576" s="6" t="s">
        <v>60</v>
      </c>
      <c r="D576" s="6" t="s">
        <v>243</v>
      </c>
      <c r="E576" s="7" t="n">
        <v>0.25</v>
      </c>
      <c r="F576" s="6"/>
    </row>
    <row r="577" customFormat="false" ht="15" hidden="false" customHeight="false" outlineLevel="0" collapsed="false">
      <c r="A577" s="22" t="n">
        <v>46539</v>
      </c>
      <c r="B577" s="23" t="str">
        <f aca="false">IFERROR(INDEX(Sprint!$A$2:$A$11,MATCH(A577,Sprint!$B$2:$B$11,1)),"")</f>
        <v>S5</v>
      </c>
      <c r="C577" s="6" t="s">
        <v>67</v>
      </c>
      <c r="D577" s="6" t="s">
        <v>252</v>
      </c>
      <c r="E577" s="7" t="n">
        <v>1</v>
      </c>
      <c r="F577" s="6"/>
    </row>
    <row r="578" customFormat="false" ht="15" hidden="false" customHeight="false" outlineLevel="0" collapsed="false">
      <c r="A578" s="22" t="n">
        <v>46539</v>
      </c>
      <c r="B578" s="23" t="str">
        <f aca="false">IFERROR(INDEX(Sprint!$A$2:$A$11,MATCH(A578,Sprint!$B$2:$B$11,1)),"")</f>
        <v>S5</v>
      </c>
      <c r="C578" s="6" t="s">
        <v>52</v>
      </c>
      <c r="D578" s="6" t="s">
        <v>253</v>
      </c>
      <c r="E578" s="7" t="n">
        <v>1</v>
      </c>
      <c r="F578" s="6"/>
    </row>
    <row r="579" customFormat="false" ht="15" hidden="false" customHeight="false" outlineLevel="0" collapsed="false">
      <c r="A579" s="22" t="n">
        <v>46539</v>
      </c>
      <c r="B579" s="23" t="str">
        <f aca="false">IFERROR(INDEX(Sprint!$A$2:$A$11,MATCH(A579,Sprint!$B$2:$B$11,1)),"")</f>
        <v>S5</v>
      </c>
      <c r="C579" s="6" t="s">
        <v>62</v>
      </c>
      <c r="D579" s="6" t="s">
        <v>254</v>
      </c>
      <c r="E579" s="7" t="n">
        <v>1</v>
      </c>
      <c r="F579" s="6"/>
    </row>
    <row r="580" customFormat="false" ht="15" hidden="false" customHeight="false" outlineLevel="0" collapsed="false">
      <c r="A580" s="22" t="n">
        <v>46539</v>
      </c>
      <c r="B580" s="23" t="str">
        <f aca="false">IFERROR(INDEX(Sprint!$A$2:$A$11,MATCH(A580,Sprint!$B$2:$B$11,1)),"")</f>
        <v>S5</v>
      </c>
      <c r="C580" s="6" t="s">
        <v>65</v>
      </c>
      <c r="D580" s="6" t="s">
        <v>249</v>
      </c>
      <c r="E580" s="7" t="n">
        <v>1</v>
      </c>
      <c r="F580" s="6"/>
    </row>
    <row r="581" customFormat="false" ht="15" hidden="false" customHeight="false" outlineLevel="0" collapsed="false">
      <c r="A581" s="22" t="n">
        <v>46539</v>
      </c>
      <c r="B581" s="23" t="str">
        <f aca="false">IFERROR(INDEX(Sprint!$A$2:$A$11,MATCH(A581,Sprint!$B$2:$B$11,1)),"")</f>
        <v>S5</v>
      </c>
      <c r="C581" s="6" t="s">
        <v>44</v>
      </c>
      <c r="D581" s="6" t="s">
        <v>250</v>
      </c>
      <c r="E581" s="7" t="n">
        <v>0.75</v>
      </c>
      <c r="F581" s="6"/>
    </row>
    <row r="582" customFormat="false" ht="15" hidden="false" customHeight="false" outlineLevel="0" collapsed="false">
      <c r="A582" s="22" t="n">
        <v>46539</v>
      </c>
      <c r="B582" s="23" t="str">
        <f aca="false">IFERROR(INDEX(Sprint!$A$2:$A$11,MATCH(A582,Sprint!$B$2:$B$11,1)),"")</f>
        <v>S5</v>
      </c>
      <c r="C582" s="6" t="s">
        <v>47</v>
      </c>
      <c r="D582" s="6" t="s">
        <v>250</v>
      </c>
      <c r="E582" s="7" t="n">
        <v>0.75</v>
      </c>
      <c r="F582" s="6"/>
    </row>
    <row r="583" customFormat="false" ht="15" hidden="false" customHeight="false" outlineLevel="0" collapsed="false">
      <c r="A583" s="22" t="n">
        <v>46539</v>
      </c>
      <c r="B583" s="23" t="str">
        <f aca="false">IFERROR(INDEX(Sprint!$A$2:$A$11,MATCH(A583,Sprint!$B$2:$B$11,1)),"")</f>
        <v>S5</v>
      </c>
      <c r="C583" s="6" t="s">
        <v>41</v>
      </c>
      <c r="D583" s="6" t="s">
        <v>238</v>
      </c>
      <c r="E583" s="7" t="n">
        <v>1</v>
      </c>
      <c r="F583" s="6"/>
    </row>
    <row r="584" customFormat="false" ht="15" hidden="false" customHeight="false" outlineLevel="0" collapsed="false">
      <c r="A584" s="22" t="n">
        <v>46540</v>
      </c>
      <c r="B584" s="23" t="str">
        <f aca="false">IFERROR(INDEX(Sprint!$A$2:$A$11,MATCH(A584,Sprint!$B$2:$B$11,1)),"")</f>
        <v>S5</v>
      </c>
      <c r="C584" s="6" t="s">
        <v>56</v>
      </c>
      <c r="D584" s="6" t="s">
        <v>251</v>
      </c>
      <c r="E584" s="7" t="n">
        <v>1</v>
      </c>
      <c r="F584" s="6"/>
    </row>
    <row r="585" customFormat="false" ht="15" hidden="false" customHeight="false" outlineLevel="0" collapsed="false">
      <c r="A585" s="22" t="n">
        <v>46540</v>
      </c>
      <c r="B585" s="23" t="str">
        <f aca="false">IFERROR(INDEX(Sprint!$A$2:$A$11,MATCH(A585,Sprint!$B$2:$B$11,1)),"")</f>
        <v>S5</v>
      </c>
      <c r="C585" s="6" t="s">
        <v>58</v>
      </c>
      <c r="D585" s="6" t="s">
        <v>247</v>
      </c>
      <c r="E585" s="7" t="n">
        <v>1</v>
      </c>
      <c r="F585" s="6"/>
    </row>
    <row r="586" customFormat="false" ht="15" hidden="false" customHeight="false" outlineLevel="0" collapsed="false">
      <c r="A586" s="22" t="n">
        <v>46540</v>
      </c>
      <c r="B586" s="23" t="str">
        <f aca="false">IFERROR(INDEX(Sprint!$A$2:$A$11,MATCH(A586,Sprint!$B$2:$B$11,1)),"")</f>
        <v>S5</v>
      </c>
      <c r="C586" s="6" t="s">
        <v>67</v>
      </c>
      <c r="D586" s="6" t="s">
        <v>255</v>
      </c>
      <c r="E586" s="7" t="n">
        <v>1</v>
      </c>
      <c r="F586" s="6"/>
    </row>
    <row r="587" customFormat="false" ht="15" hidden="false" customHeight="false" outlineLevel="0" collapsed="false">
      <c r="A587" s="22" t="n">
        <v>46540</v>
      </c>
      <c r="B587" s="23" t="str">
        <f aca="false">IFERROR(INDEX(Sprint!$A$2:$A$11,MATCH(A587,Sprint!$B$2:$B$11,1)),"")</f>
        <v>S5</v>
      </c>
      <c r="C587" s="6" t="s">
        <v>52</v>
      </c>
      <c r="D587" s="6" t="s">
        <v>253</v>
      </c>
      <c r="E587" s="7" t="n">
        <v>1</v>
      </c>
      <c r="F587" s="6"/>
    </row>
    <row r="588" customFormat="false" ht="15" hidden="false" customHeight="false" outlineLevel="0" collapsed="false">
      <c r="A588" s="22" t="n">
        <v>46540</v>
      </c>
      <c r="B588" s="23" t="str">
        <f aca="false">IFERROR(INDEX(Sprint!$A$2:$A$11,MATCH(A588,Sprint!$B$2:$B$11,1)),"")</f>
        <v>S5</v>
      </c>
      <c r="C588" s="6" t="s">
        <v>62</v>
      </c>
      <c r="D588" s="6" t="s">
        <v>254</v>
      </c>
      <c r="E588" s="7" t="n">
        <v>1</v>
      </c>
      <c r="F588" s="6"/>
    </row>
    <row r="589" customFormat="false" ht="15" hidden="false" customHeight="false" outlineLevel="0" collapsed="false">
      <c r="A589" s="22" t="n">
        <v>46540</v>
      </c>
      <c r="B589" s="23" t="str">
        <f aca="false">IFERROR(INDEX(Sprint!$A$2:$A$11,MATCH(A589,Sprint!$B$2:$B$11,1)),"")</f>
        <v>S5</v>
      </c>
      <c r="C589" s="6" t="s">
        <v>65</v>
      </c>
      <c r="D589" s="6" t="s">
        <v>249</v>
      </c>
      <c r="E589" s="7" t="n">
        <v>1</v>
      </c>
      <c r="F589" s="6"/>
    </row>
    <row r="590" customFormat="false" ht="15" hidden="false" customHeight="false" outlineLevel="0" collapsed="false">
      <c r="A590" s="22" t="n">
        <v>46540</v>
      </c>
      <c r="B590" s="23" t="str">
        <f aca="false">IFERROR(INDEX(Sprint!$A$2:$A$11,MATCH(A590,Sprint!$B$2:$B$11,1)),"")</f>
        <v>S5</v>
      </c>
      <c r="C590" s="6" t="s">
        <v>37</v>
      </c>
      <c r="D590" s="6" t="s">
        <v>245</v>
      </c>
      <c r="E590" s="7" t="n">
        <v>0.25</v>
      </c>
      <c r="F590" s="6"/>
    </row>
    <row r="591" customFormat="false" ht="15" hidden="false" customHeight="false" outlineLevel="0" collapsed="false">
      <c r="A591" s="22" t="n">
        <v>46540</v>
      </c>
      <c r="B591" s="23" t="str">
        <f aca="false">IFERROR(INDEX(Sprint!$A$2:$A$11,MATCH(A591,Sprint!$B$2:$B$11,1)),"")</f>
        <v>S5</v>
      </c>
      <c r="C591" s="6" t="s">
        <v>44</v>
      </c>
      <c r="D591" s="6" t="s">
        <v>256</v>
      </c>
      <c r="E591" s="7" t="n">
        <v>0.5</v>
      </c>
      <c r="F591" s="6"/>
    </row>
    <row r="592" customFormat="false" ht="15" hidden="false" customHeight="false" outlineLevel="0" collapsed="false">
      <c r="A592" s="22" t="n">
        <v>46540</v>
      </c>
      <c r="B592" s="23" t="str">
        <f aca="false">IFERROR(INDEX(Sprint!$A$2:$A$11,MATCH(A592,Sprint!$B$2:$B$11,1)),"")</f>
        <v>S5</v>
      </c>
      <c r="C592" s="6" t="s">
        <v>47</v>
      </c>
      <c r="D592" s="6" t="s">
        <v>256</v>
      </c>
      <c r="E592" s="7" t="n">
        <v>0.5</v>
      </c>
      <c r="F592" s="6"/>
    </row>
    <row r="593" customFormat="false" ht="15" hidden="false" customHeight="false" outlineLevel="0" collapsed="false">
      <c r="A593" s="22" t="n">
        <v>46540</v>
      </c>
      <c r="B593" s="23" t="str">
        <f aca="false">IFERROR(INDEX(Sprint!$A$2:$A$11,MATCH(A593,Sprint!$B$2:$B$11,1)),"")</f>
        <v>S5</v>
      </c>
      <c r="C593" s="6" t="s">
        <v>41</v>
      </c>
      <c r="D593" s="6" t="s">
        <v>238</v>
      </c>
      <c r="E593" s="7" t="n">
        <v>0.25</v>
      </c>
      <c r="F593" s="6"/>
    </row>
    <row r="594" customFormat="false" ht="15" hidden="false" customHeight="false" outlineLevel="0" collapsed="false">
      <c r="A594" s="22" t="n">
        <v>46540</v>
      </c>
      <c r="B594" s="23" t="str">
        <f aca="false">IFERROR(INDEX(Sprint!$A$2:$A$11,MATCH(A594,Sprint!$B$2:$B$11,1)),"")</f>
        <v>S5</v>
      </c>
      <c r="C594" s="6" t="s">
        <v>41</v>
      </c>
      <c r="D594" s="6" t="s">
        <v>257</v>
      </c>
      <c r="E594" s="7" t="n">
        <v>0.75</v>
      </c>
      <c r="F594" s="6"/>
    </row>
    <row r="595" customFormat="false" ht="15" hidden="false" customHeight="false" outlineLevel="0" collapsed="false">
      <c r="A595" s="22" t="n">
        <v>46541</v>
      </c>
      <c r="B595" s="23" t="str">
        <f aca="false">IFERROR(INDEX(Sprint!$A$2:$A$11,MATCH(A595,Sprint!$B$2:$B$11,1)),"")</f>
        <v>S5</v>
      </c>
      <c r="C595" s="6" t="s">
        <v>67</v>
      </c>
      <c r="D595" s="6" t="s">
        <v>255</v>
      </c>
      <c r="E595" s="7" t="n">
        <v>1</v>
      </c>
      <c r="F595" s="6"/>
    </row>
    <row r="596" customFormat="false" ht="15" hidden="false" customHeight="false" outlineLevel="0" collapsed="false">
      <c r="A596" s="22" t="n">
        <v>46541</v>
      </c>
      <c r="B596" s="23" t="str">
        <f aca="false">IFERROR(INDEX(Sprint!$A$2:$A$11,MATCH(A596,Sprint!$B$2:$B$11,1)),"")</f>
        <v>S5</v>
      </c>
      <c r="C596" s="6" t="s">
        <v>52</v>
      </c>
      <c r="D596" s="6" t="s">
        <v>253</v>
      </c>
      <c r="E596" s="7" t="n">
        <v>1</v>
      </c>
      <c r="F596" s="6"/>
    </row>
    <row r="597" customFormat="false" ht="15" hidden="false" customHeight="false" outlineLevel="0" collapsed="false">
      <c r="A597" s="22" t="n">
        <v>46541</v>
      </c>
      <c r="B597" s="23" t="str">
        <f aca="false">IFERROR(INDEX(Sprint!$A$2:$A$11,MATCH(A597,Sprint!$B$2:$B$11,1)),"")</f>
        <v>S5</v>
      </c>
      <c r="C597" s="6" t="s">
        <v>62</v>
      </c>
      <c r="D597" s="6" t="s">
        <v>254</v>
      </c>
      <c r="E597" s="7" t="n">
        <v>1</v>
      </c>
      <c r="F597" s="6"/>
    </row>
    <row r="598" customFormat="false" ht="15" hidden="false" customHeight="false" outlineLevel="0" collapsed="false">
      <c r="A598" s="22" t="n">
        <v>46541</v>
      </c>
      <c r="B598" s="23" t="str">
        <f aca="false">IFERROR(INDEX(Sprint!$A$2:$A$11,MATCH(A598,Sprint!$B$2:$B$11,1)),"")</f>
        <v>S5</v>
      </c>
      <c r="C598" s="6" t="s">
        <v>65</v>
      </c>
      <c r="D598" s="6" t="s">
        <v>249</v>
      </c>
      <c r="E598" s="7" t="n">
        <v>1</v>
      </c>
      <c r="F598" s="6"/>
    </row>
    <row r="599" customFormat="false" ht="15" hidden="false" customHeight="false" outlineLevel="0" collapsed="false">
      <c r="A599" s="22" t="n">
        <v>46541</v>
      </c>
      <c r="B599" s="23" t="str">
        <f aca="false">IFERROR(INDEX(Sprint!$A$2:$A$11,MATCH(A599,Sprint!$B$2:$B$11,1)),"")</f>
        <v>S5</v>
      </c>
      <c r="C599" s="6" t="s">
        <v>49</v>
      </c>
      <c r="D599" s="6" t="s">
        <v>258</v>
      </c>
      <c r="E599" s="7" t="n">
        <v>1</v>
      </c>
      <c r="F599" s="6"/>
    </row>
    <row r="600" customFormat="false" ht="15" hidden="false" customHeight="false" outlineLevel="0" collapsed="false">
      <c r="A600" s="22" t="n">
        <v>46541</v>
      </c>
      <c r="B600" s="23" t="str">
        <f aca="false">IFERROR(INDEX(Sprint!$A$2:$A$11,MATCH(A600,Sprint!$B$2:$B$11,1)),"")</f>
        <v>S5</v>
      </c>
      <c r="C600" s="6" t="s">
        <v>44</v>
      </c>
      <c r="D600" s="6" t="s">
        <v>256</v>
      </c>
      <c r="E600" s="7" t="n">
        <v>0.25</v>
      </c>
      <c r="F600" s="6"/>
    </row>
    <row r="601" customFormat="false" ht="15" hidden="false" customHeight="false" outlineLevel="0" collapsed="false">
      <c r="A601" s="22" t="n">
        <v>46541</v>
      </c>
      <c r="B601" s="23" t="str">
        <f aca="false">IFERROR(INDEX(Sprint!$A$2:$A$11,MATCH(A601,Sprint!$B$2:$B$11,1)),"")</f>
        <v>S5</v>
      </c>
      <c r="C601" s="6" t="s">
        <v>47</v>
      </c>
      <c r="D601" s="6" t="s">
        <v>258</v>
      </c>
      <c r="E601" s="7" t="n">
        <v>1</v>
      </c>
      <c r="F601" s="6"/>
    </row>
    <row r="602" customFormat="false" ht="15" hidden="false" customHeight="false" outlineLevel="0" collapsed="false">
      <c r="A602" s="22" t="n">
        <v>46541</v>
      </c>
      <c r="B602" s="23" t="str">
        <f aca="false">IFERROR(INDEX(Sprint!$A$2:$A$11,MATCH(A602,Sprint!$B$2:$B$11,1)),"")</f>
        <v>S5</v>
      </c>
      <c r="C602" s="6" t="s">
        <v>41</v>
      </c>
      <c r="D602" s="6" t="s">
        <v>257</v>
      </c>
      <c r="E602" s="7" t="n">
        <v>1</v>
      </c>
      <c r="F602" s="6"/>
    </row>
    <row r="603" customFormat="false" ht="15" hidden="false" customHeight="false" outlineLevel="0" collapsed="false">
      <c r="A603" s="22" t="n">
        <v>46542</v>
      </c>
      <c r="B603" s="23" t="str">
        <f aca="false">IFERROR(INDEX(Sprint!$A$2:$A$11,MATCH(A603,Sprint!$B$2:$B$11,1)),"")</f>
        <v>S6</v>
      </c>
      <c r="C603" s="6" t="s">
        <v>56</v>
      </c>
      <c r="D603" s="6" t="s">
        <v>259</v>
      </c>
      <c r="E603" s="7" t="n">
        <v>1</v>
      </c>
      <c r="F603" s="6"/>
    </row>
    <row r="604" customFormat="false" ht="15" hidden="false" customHeight="false" outlineLevel="0" collapsed="false">
      <c r="A604" s="22" t="n">
        <v>46542</v>
      </c>
      <c r="B604" s="23" t="str">
        <f aca="false">IFERROR(INDEX(Sprint!$A$2:$A$11,MATCH(A604,Sprint!$B$2:$B$11,1)),"")</f>
        <v>S6</v>
      </c>
      <c r="C604" s="6" t="s">
        <v>67</v>
      </c>
      <c r="D604" s="6" t="s">
        <v>255</v>
      </c>
      <c r="E604" s="7" t="n">
        <v>1</v>
      </c>
      <c r="F604" s="6"/>
    </row>
    <row r="605" customFormat="false" ht="15" hidden="false" customHeight="false" outlineLevel="0" collapsed="false">
      <c r="A605" s="22" t="n">
        <v>46542</v>
      </c>
      <c r="B605" s="23" t="str">
        <f aca="false">IFERROR(INDEX(Sprint!$A$2:$A$11,MATCH(A605,Sprint!$B$2:$B$11,1)),"")</f>
        <v>S6</v>
      </c>
      <c r="C605" s="6" t="s">
        <v>52</v>
      </c>
      <c r="D605" s="6" t="s">
        <v>260</v>
      </c>
      <c r="E605" s="7" t="n">
        <v>1</v>
      </c>
      <c r="F605" s="6"/>
    </row>
    <row r="606" customFormat="false" ht="15" hidden="false" customHeight="false" outlineLevel="0" collapsed="false">
      <c r="A606" s="22" t="n">
        <v>46542</v>
      </c>
      <c r="B606" s="23" t="str">
        <f aca="false">IFERROR(INDEX(Sprint!$A$2:$A$11,MATCH(A606,Sprint!$B$2:$B$11,1)),"")</f>
        <v>S6</v>
      </c>
      <c r="C606" s="6" t="s">
        <v>62</v>
      </c>
      <c r="D606" s="6" t="s">
        <v>254</v>
      </c>
      <c r="E606" s="7" t="n">
        <v>1</v>
      </c>
      <c r="F606" s="6"/>
    </row>
    <row r="607" customFormat="false" ht="15" hidden="false" customHeight="false" outlineLevel="0" collapsed="false">
      <c r="A607" s="22" t="n">
        <v>46542</v>
      </c>
      <c r="B607" s="23" t="str">
        <f aca="false">IFERROR(INDEX(Sprint!$A$2:$A$11,MATCH(A607,Sprint!$B$2:$B$11,1)),"")</f>
        <v>S6</v>
      </c>
      <c r="C607" s="6" t="s">
        <v>65</v>
      </c>
      <c r="D607" s="6" t="s">
        <v>249</v>
      </c>
      <c r="E607" s="7" t="n">
        <v>1</v>
      </c>
      <c r="F607" s="6"/>
    </row>
    <row r="608" customFormat="false" ht="15" hidden="false" customHeight="false" outlineLevel="0" collapsed="false">
      <c r="A608" s="22" t="n">
        <v>46542</v>
      </c>
      <c r="B608" s="23" t="str">
        <f aca="false">IFERROR(INDEX(Sprint!$A$2:$A$11,MATCH(A608,Sprint!$B$2:$B$11,1)),"")</f>
        <v>S6</v>
      </c>
      <c r="C608" s="6" t="s">
        <v>37</v>
      </c>
      <c r="D608" s="6" t="s">
        <v>157</v>
      </c>
      <c r="E608" s="7" t="n">
        <v>0.25</v>
      </c>
      <c r="F608" s="6"/>
    </row>
    <row r="609" customFormat="false" ht="15" hidden="false" customHeight="false" outlineLevel="0" collapsed="false">
      <c r="A609" s="22" t="n">
        <v>46542</v>
      </c>
      <c r="B609" s="23" t="str">
        <f aca="false">IFERROR(INDEX(Sprint!$A$2:$A$11,MATCH(A609,Sprint!$B$2:$B$11,1)),"")</f>
        <v>S6</v>
      </c>
      <c r="C609" s="6" t="s">
        <v>37</v>
      </c>
      <c r="D609" s="6" t="s">
        <v>168</v>
      </c>
      <c r="E609" s="7" t="n">
        <v>0.25</v>
      </c>
      <c r="F609" s="6"/>
    </row>
    <row r="610" customFormat="false" ht="15" hidden="false" customHeight="false" outlineLevel="0" collapsed="false">
      <c r="A610" s="22" t="n">
        <v>46542</v>
      </c>
      <c r="B610" s="23" t="str">
        <f aca="false">IFERROR(INDEX(Sprint!$A$2:$A$11,MATCH(A610,Sprint!$B$2:$B$11,1)),"")</f>
        <v>S6</v>
      </c>
      <c r="C610" s="6" t="s">
        <v>37</v>
      </c>
      <c r="D610" s="6" t="s">
        <v>185</v>
      </c>
      <c r="E610" s="7" t="n">
        <v>0.25</v>
      </c>
      <c r="F610" s="6"/>
    </row>
    <row r="611" customFormat="false" ht="15" hidden="false" customHeight="false" outlineLevel="0" collapsed="false">
      <c r="A611" s="22" t="n">
        <v>46542</v>
      </c>
      <c r="B611" s="23" t="str">
        <f aca="false">IFERROR(INDEX(Sprint!$A$2:$A$11,MATCH(A611,Sprint!$B$2:$B$11,1)),"")</f>
        <v>S6</v>
      </c>
      <c r="C611" s="6" t="s">
        <v>49</v>
      </c>
      <c r="D611" s="6" t="s">
        <v>258</v>
      </c>
      <c r="E611" s="7" t="n">
        <v>1</v>
      </c>
      <c r="F611" s="6"/>
    </row>
    <row r="612" customFormat="false" ht="15" hidden="false" customHeight="false" outlineLevel="0" collapsed="false">
      <c r="A612" s="22" t="n">
        <v>46542</v>
      </c>
      <c r="B612" s="23" t="str">
        <f aca="false">IFERROR(INDEX(Sprint!$A$2:$A$11,MATCH(A612,Sprint!$B$2:$B$11,1)),"")</f>
        <v>S6</v>
      </c>
      <c r="C612" s="6" t="s">
        <v>44</v>
      </c>
      <c r="D612" s="6" t="s">
        <v>256</v>
      </c>
      <c r="E612" s="7" t="n">
        <v>0.5</v>
      </c>
      <c r="F612" s="6"/>
    </row>
    <row r="613" customFormat="false" ht="15" hidden="false" customHeight="false" outlineLevel="0" collapsed="false">
      <c r="A613" s="22" t="n">
        <v>46542</v>
      </c>
      <c r="B613" s="23" t="str">
        <f aca="false">IFERROR(INDEX(Sprint!$A$2:$A$11,MATCH(A613,Sprint!$B$2:$B$11,1)),"")</f>
        <v>S6</v>
      </c>
      <c r="C613" s="6" t="s">
        <v>47</v>
      </c>
      <c r="D613" s="6" t="s">
        <v>258</v>
      </c>
      <c r="E613" s="7" t="n">
        <v>1</v>
      </c>
      <c r="F613" s="6"/>
    </row>
    <row r="614" customFormat="false" ht="15" hidden="false" customHeight="false" outlineLevel="0" collapsed="false">
      <c r="A614" s="22" t="n">
        <v>46542</v>
      </c>
      <c r="B614" s="23" t="str">
        <f aca="false">IFERROR(INDEX(Sprint!$A$2:$A$11,MATCH(A614,Sprint!$B$2:$B$11,1)),"")</f>
        <v>S6</v>
      </c>
      <c r="C614" s="6" t="s">
        <v>41</v>
      </c>
      <c r="D614" s="6" t="s">
        <v>257</v>
      </c>
      <c r="E614" s="7" t="n">
        <v>0.25</v>
      </c>
      <c r="F614" s="6"/>
    </row>
    <row r="615" customFormat="false" ht="15" hidden="false" customHeight="false" outlineLevel="0" collapsed="false">
      <c r="A615" s="22" t="n">
        <v>46545</v>
      </c>
      <c r="B615" s="23" t="str">
        <f aca="false">IFERROR(INDEX(Sprint!$A$2:$A$11,MATCH(A615,Sprint!$B$2:$B$11,1)),"")</f>
        <v>S6</v>
      </c>
      <c r="C615" s="6" t="s">
        <v>56</v>
      </c>
      <c r="D615" s="6" t="s">
        <v>259</v>
      </c>
      <c r="E615" s="7" t="n">
        <v>1</v>
      </c>
      <c r="F615" s="6"/>
    </row>
    <row r="616" customFormat="false" ht="15" hidden="false" customHeight="false" outlineLevel="0" collapsed="false">
      <c r="A616" s="22" t="n">
        <v>46545</v>
      </c>
      <c r="B616" s="23" t="str">
        <f aca="false">IFERROR(INDEX(Sprint!$A$2:$A$11,MATCH(A616,Sprint!$B$2:$B$11,1)),"")</f>
        <v>S6</v>
      </c>
      <c r="C616" s="6" t="s">
        <v>67</v>
      </c>
      <c r="D616" s="6" t="s">
        <v>255</v>
      </c>
      <c r="E616" s="7" t="n">
        <v>1</v>
      </c>
      <c r="F616" s="6"/>
    </row>
    <row r="617" customFormat="false" ht="15" hidden="false" customHeight="false" outlineLevel="0" collapsed="false">
      <c r="A617" s="22" t="n">
        <v>46545</v>
      </c>
      <c r="B617" s="23" t="str">
        <f aca="false">IFERROR(INDEX(Sprint!$A$2:$A$11,MATCH(A617,Sprint!$B$2:$B$11,1)),"")</f>
        <v>S6</v>
      </c>
      <c r="C617" s="6" t="s">
        <v>52</v>
      </c>
      <c r="D617" s="6" t="s">
        <v>260</v>
      </c>
      <c r="E617" s="7" t="n">
        <v>0.75</v>
      </c>
      <c r="F617" s="6"/>
    </row>
    <row r="618" customFormat="false" ht="15" hidden="false" customHeight="false" outlineLevel="0" collapsed="false">
      <c r="A618" s="22" t="n">
        <v>46545</v>
      </c>
      <c r="B618" s="23" t="str">
        <f aca="false">IFERROR(INDEX(Sprint!$A$2:$A$11,MATCH(A618,Sprint!$B$2:$B$11,1)),"")</f>
        <v>S6</v>
      </c>
      <c r="C618" s="6" t="s">
        <v>62</v>
      </c>
      <c r="D618" s="6" t="s">
        <v>254</v>
      </c>
      <c r="E618" s="7" t="n">
        <v>0.5</v>
      </c>
      <c r="F618" s="6"/>
    </row>
    <row r="619" customFormat="false" ht="15" hidden="false" customHeight="false" outlineLevel="0" collapsed="false">
      <c r="A619" s="22" t="n">
        <v>46545</v>
      </c>
      <c r="B619" s="23" t="str">
        <f aca="false">IFERROR(INDEX(Sprint!$A$2:$A$11,MATCH(A619,Sprint!$B$2:$B$11,1)),"")</f>
        <v>S6</v>
      </c>
      <c r="C619" s="6" t="s">
        <v>65</v>
      </c>
      <c r="D619" s="6" t="s">
        <v>232</v>
      </c>
      <c r="E619" s="7" t="n">
        <v>0.25</v>
      </c>
      <c r="F619" s="6"/>
    </row>
    <row r="620" customFormat="false" ht="15" hidden="false" customHeight="false" outlineLevel="0" collapsed="false">
      <c r="A620" s="22" t="n">
        <v>46545</v>
      </c>
      <c r="B620" s="23" t="str">
        <f aca="false">IFERROR(INDEX(Sprint!$A$2:$A$11,MATCH(A620,Sprint!$B$2:$B$11,1)),"")</f>
        <v>S6</v>
      </c>
      <c r="C620" s="6" t="s">
        <v>65</v>
      </c>
      <c r="D620" s="6" t="s">
        <v>249</v>
      </c>
      <c r="E620" s="7" t="n">
        <v>0.75</v>
      </c>
      <c r="F620" s="6"/>
    </row>
    <row r="621" customFormat="false" ht="15" hidden="false" customHeight="false" outlineLevel="0" collapsed="false">
      <c r="A621" s="22" t="n">
        <v>46545</v>
      </c>
      <c r="B621" s="23" t="str">
        <f aca="false">IFERROR(INDEX(Sprint!$A$2:$A$11,MATCH(A621,Sprint!$B$2:$B$11,1)),"")</f>
        <v>S6</v>
      </c>
      <c r="C621" s="6" t="s">
        <v>37</v>
      </c>
      <c r="D621" s="6" t="s">
        <v>156</v>
      </c>
      <c r="E621" s="7" t="n">
        <v>0.25</v>
      </c>
      <c r="F621" s="6"/>
    </row>
    <row r="622" customFormat="false" ht="15" hidden="false" customHeight="false" outlineLevel="0" collapsed="false">
      <c r="A622" s="22" t="n">
        <v>46545</v>
      </c>
      <c r="B622" s="23" t="str">
        <f aca="false">IFERROR(INDEX(Sprint!$A$2:$A$11,MATCH(A622,Sprint!$B$2:$B$11,1)),"")</f>
        <v>S6</v>
      </c>
      <c r="C622" s="6" t="s">
        <v>49</v>
      </c>
      <c r="D622" s="6" t="s">
        <v>258</v>
      </c>
      <c r="E622" s="7" t="n">
        <v>1</v>
      </c>
      <c r="F622" s="6"/>
    </row>
    <row r="623" customFormat="false" ht="15" hidden="false" customHeight="false" outlineLevel="0" collapsed="false">
      <c r="A623" s="22" t="n">
        <v>46545</v>
      </c>
      <c r="B623" s="23" t="str">
        <f aca="false">IFERROR(INDEX(Sprint!$A$2:$A$11,MATCH(A623,Sprint!$B$2:$B$11,1)),"")</f>
        <v>S6</v>
      </c>
      <c r="C623" s="6" t="s">
        <v>44</v>
      </c>
      <c r="D623" s="6" t="s">
        <v>256</v>
      </c>
      <c r="E623" s="7" t="n">
        <v>0.25</v>
      </c>
      <c r="F623" s="6"/>
    </row>
    <row r="624" customFormat="false" ht="15" hidden="false" customHeight="false" outlineLevel="0" collapsed="false">
      <c r="A624" s="22" t="n">
        <v>46545</v>
      </c>
      <c r="B624" s="23" t="str">
        <f aca="false">IFERROR(INDEX(Sprint!$A$2:$A$11,MATCH(A624,Sprint!$B$2:$B$11,1)),"")</f>
        <v>S6</v>
      </c>
      <c r="C624" s="6" t="s">
        <v>44</v>
      </c>
      <c r="D624" s="6" t="s">
        <v>261</v>
      </c>
      <c r="E624" s="7" t="n">
        <v>0.25</v>
      </c>
      <c r="F624" s="6"/>
    </row>
    <row r="625" customFormat="false" ht="15" hidden="false" customHeight="false" outlineLevel="0" collapsed="false">
      <c r="A625" s="22" t="n">
        <v>46545</v>
      </c>
      <c r="B625" s="23" t="str">
        <f aca="false">IFERROR(INDEX(Sprint!$A$2:$A$11,MATCH(A625,Sprint!$B$2:$B$11,1)),"")</f>
        <v>S6</v>
      </c>
      <c r="C625" s="6" t="s">
        <v>47</v>
      </c>
      <c r="D625" s="6" t="s">
        <v>258</v>
      </c>
      <c r="E625" s="7" t="n">
        <v>1</v>
      </c>
      <c r="F625" s="6"/>
    </row>
    <row r="626" customFormat="false" ht="15" hidden="false" customHeight="false" outlineLevel="0" collapsed="false">
      <c r="A626" s="22" t="n">
        <v>46546</v>
      </c>
      <c r="B626" s="23" t="str">
        <f aca="false">IFERROR(INDEX(Sprint!$A$2:$A$11,MATCH(A626,Sprint!$B$2:$B$11,1)),"")</f>
        <v>S6</v>
      </c>
      <c r="C626" s="6" t="s">
        <v>56</v>
      </c>
      <c r="D626" s="6" t="s">
        <v>259</v>
      </c>
      <c r="E626" s="7" t="n">
        <v>1</v>
      </c>
      <c r="F626" s="6"/>
    </row>
    <row r="627" customFormat="false" ht="15" hidden="false" customHeight="false" outlineLevel="0" collapsed="false">
      <c r="A627" s="22" t="n">
        <v>46546</v>
      </c>
      <c r="B627" s="23" t="str">
        <f aca="false">IFERROR(INDEX(Sprint!$A$2:$A$11,MATCH(A627,Sprint!$B$2:$B$11,1)),"")</f>
        <v>S6</v>
      </c>
      <c r="C627" s="6" t="s">
        <v>60</v>
      </c>
      <c r="D627" s="6" t="s">
        <v>262</v>
      </c>
      <c r="E627" s="7" t="n">
        <v>1</v>
      </c>
      <c r="F627" s="6"/>
    </row>
    <row r="628" customFormat="false" ht="15" hidden="false" customHeight="false" outlineLevel="0" collapsed="false">
      <c r="A628" s="22" t="n">
        <v>46546</v>
      </c>
      <c r="B628" s="23" t="str">
        <f aca="false">IFERROR(INDEX(Sprint!$A$2:$A$11,MATCH(A628,Sprint!$B$2:$B$11,1)),"")</f>
        <v>S6</v>
      </c>
      <c r="C628" s="6" t="s">
        <v>67</v>
      </c>
      <c r="D628" s="6" t="s">
        <v>263</v>
      </c>
      <c r="E628" s="7" t="n">
        <v>1</v>
      </c>
      <c r="F628" s="6"/>
    </row>
    <row r="629" customFormat="false" ht="15" hidden="false" customHeight="false" outlineLevel="0" collapsed="false">
      <c r="A629" s="22" t="n">
        <v>46546</v>
      </c>
      <c r="B629" s="23" t="str">
        <f aca="false">IFERROR(INDEX(Sprint!$A$2:$A$11,MATCH(A629,Sprint!$B$2:$B$11,1)),"")</f>
        <v>S6</v>
      </c>
      <c r="C629" s="6" t="s">
        <v>52</v>
      </c>
      <c r="D629" s="6" t="s">
        <v>260</v>
      </c>
      <c r="E629" s="7" t="n">
        <v>0.75</v>
      </c>
      <c r="F629" s="6"/>
    </row>
    <row r="630" customFormat="false" ht="15" hidden="false" customHeight="false" outlineLevel="0" collapsed="false">
      <c r="A630" s="22" t="n">
        <v>46546</v>
      </c>
      <c r="B630" s="23" t="str">
        <f aca="false">IFERROR(INDEX(Sprint!$A$2:$A$11,MATCH(A630,Sprint!$B$2:$B$11,1)),"")</f>
        <v>S6</v>
      </c>
      <c r="C630" s="6" t="s">
        <v>65</v>
      </c>
      <c r="D630" s="6" t="s">
        <v>264</v>
      </c>
      <c r="E630" s="7" t="n">
        <v>0.25</v>
      </c>
      <c r="F630" s="6"/>
    </row>
    <row r="631" customFormat="false" ht="15" hidden="false" customHeight="false" outlineLevel="0" collapsed="false">
      <c r="A631" s="22" t="n">
        <v>46546</v>
      </c>
      <c r="B631" s="23" t="str">
        <f aca="false">IFERROR(INDEX(Sprint!$A$2:$A$11,MATCH(A631,Sprint!$B$2:$B$11,1)),"")</f>
        <v>S6</v>
      </c>
      <c r="C631" s="6" t="s">
        <v>65</v>
      </c>
      <c r="D631" s="6" t="s">
        <v>232</v>
      </c>
      <c r="E631" s="7" t="n">
        <v>0.75</v>
      </c>
      <c r="F631" s="6"/>
    </row>
    <row r="632" customFormat="false" ht="15" hidden="false" customHeight="false" outlineLevel="0" collapsed="false">
      <c r="A632" s="22" t="n">
        <v>46546</v>
      </c>
      <c r="B632" s="23" t="str">
        <f aca="false">IFERROR(INDEX(Sprint!$A$2:$A$11,MATCH(A632,Sprint!$B$2:$B$11,1)),"")</f>
        <v>S6</v>
      </c>
      <c r="C632" s="6" t="s">
        <v>37</v>
      </c>
      <c r="D632" s="6" t="s">
        <v>158</v>
      </c>
      <c r="E632" s="7" t="n">
        <v>0.25</v>
      </c>
      <c r="F632" s="6"/>
    </row>
    <row r="633" customFormat="false" ht="15" hidden="false" customHeight="false" outlineLevel="0" collapsed="false">
      <c r="A633" s="22" t="n">
        <v>46546</v>
      </c>
      <c r="B633" s="23" t="str">
        <f aca="false">IFERROR(INDEX(Sprint!$A$2:$A$11,MATCH(A633,Sprint!$B$2:$B$11,1)),"")</f>
        <v>S6</v>
      </c>
      <c r="C633" s="6" t="s">
        <v>37</v>
      </c>
      <c r="D633" s="6" t="s">
        <v>165</v>
      </c>
      <c r="E633" s="7" t="n">
        <v>0.25</v>
      </c>
      <c r="F633" s="6"/>
    </row>
    <row r="634" customFormat="false" ht="15" hidden="false" customHeight="false" outlineLevel="0" collapsed="false">
      <c r="A634" s="22" t="n">
        <v>46546</v>
      </c>
      <c r="B634" s="23" t="str">
        <f aca="false">IFERROR(INDEX(Sprint!$A$2:$A$11,MATCH(A634,Sprint!$B$2:$B$11,1)),"")</f>
        <v>S6</v>
      </c>
      <c r="C634" s="6" t="s">
        <v>37</v>
      </c>
      <c r="D634" s="6" t="s">
        <v>245</v>
      </c>
      <c r="E634" s="7" t="n">
        <v>0.25</v>
      </c>
      <c r="F634" s="6"/>
    </row>
    <row r="635" customFormat="false" ht="15" hidden="false" customHeight="false" outlineLevel="0" collapsed="false">
      <c r="A635" s="22" t="n">
        <v>46546</v>
      </c>
      <c r="B635" s="23" t="str">
        <f aca="false">IFERROR(INDEX(Sprint!$A$2:$A$11,MATCH(A635,Sprint!$B$2:$B$11,1)),"")</f>
        <v>S6</v>
      </c>
      <c r="C635" s="6" t="s">
        <v>49</v>
      </c>
      <c r="D635" s="6" t="s">
        <v>264</v>
      </c>
      <c r="E635" s="7" t="n">
        <v>0.75</v>
      </c>
      <c r="F635" s="6"/>
    </row>
    <row r="636" customFormat="false" ht="15" hidden="false" customHeight="false" outlineLevel="0" collapsed="false">
      <c r="A636" s="22" t="n">
        <v>46546</v>
      </c>
      <c r="B636" s="23" t="str">
        <f aca="false">IFERROR(INDEX(Sprint!$A$2:$A$11,MATCH(A636,Sprint!$B$2:$B$11,1)),"")</f>
        <v>S6</v>
      </c>
      <c r="C636" s="6" t="s">
        <v>49</v>
      </c>
      <c r="D636" s="6" t="s">
        <v>260</v>
      </c>
      <c r="E636" s="7" t="n">
        <v>0.25</v>
      </c>
      <c r="F636" s="6"/>
    </row>
    <row r="637" customFormat="false" ht="15" hidden="false" customHeight="false" outlineLevel="0" collapsed="false">
      <c r="A637" s="22" t="n">
        <v>46546</v>
      </c>
      <c r="B637" s="23" t="str">
        <f aca="false">IFERROR(INDEX(Sprint!$A$2:$A$11,MATCH(A637,Sprint!$B$2:$B$11,1)),"")</f>
        <v>S6</v>
      </c>
      <c r="C637" s="6" t="s">
        <v>44</v>
      </c>
      <c r="D637" s="6" t="s">
        <v>256</v>
      </c>
      <c r="E637" s="7" t="n">
        <v>0.5</v>
      </c>
      <c r="F637" s="6"/>
    </row>
    <row r="638" customFormat="false" ht="15" hidden="false" customHeight="false" outlineLevel="0" collapsed="false">
      <c r="A638" s="22" t="n">
        <v>46546</v>
      </c>
      <c r="B638" s="23" t="str">
        <f aca="false">IFERROR(INDEX(Sprint!$A$2:$A$11,MATCH(A638,Sprint!$B$2:$B$11,1)),"")</f>
        <v>S6</v>
      </c>
      <c r="C638" s="6" t="s">
        <v>44</v>
      </c>
      <c r="D638" s="6" t="s">
        <v>261</v>
      </c>
      <c r="E638" s="7" t="n">
        <v>0.25</v>
      </c>
      <c r="F638" s="6"/>
    </row>
    <row r="639" customFormat="false" ht="15" hidden="false" customHeight="false" outlineLevel="0" collapsed="false">
      <c r="A639" s="22" t="n">
        <v>46546</v>
      </c>
      <c r="B639" s="23" t="str">
        <f aca="false">IFERROR(INDEX(Sprint!$A$2:$A$11,MATCH(A639,Sprint!$B$2:$B$11,1)),"")</f>
        <v>S6</v>
      </c>
      <c r="C639" s="6" t="s">
        <v>47</v>
      </c>
      <c r="D639" s="6" t="s">
        <v>256</v>
      </c>
      <c r="E639" s="7" t="n">
        <v>1</v>
      </c>
      <c r="F639" s="6"/>
    </row>
    <row r="640" customFormat="false" ht="15" hidden="false" customHeight="false" outlineLevel="0" collapsed="false">
      <c r="A640" s="22" t="n">
        <v>46546</v>
      </c>
      <c r="B640" s="23" t="str">
        <f aca="false">IFERROR(INDEX(Sprint!$A$2:$A$11,MATCH(A640,Sprint!$B$2:$B$11,1)),"")</f>
        <v>S6</v>
      </c>
      <c r="C640" s="6" t="s">
        <v>41</v>
      </c>
      <c r="D640" s="6" t="s">
        <v>265</v>
      </c>
      <c r="E640" s="7" t="n">
        <v>1</v>
      </c>
      <c r="F640" s="6"/>
    </row>
    <row r="641" customFormat="false" ht="15" hidden="false" customHeight="false" outlineLevel="0" collapsed="false">
      <c r="A641" s="22" t="n">
        <v>46547</v>
      </c>
      <c r="B641" s="23" t="str">
        <f aca="false">IFERROR(INDEX(Sprint!$A$2:$A$11,MATCH(A641,Sprint!$B$2:$B$11,1)),"")</f>
        <v>S6</v>
      </c>
      <c r="C641" s="6" t="s">
        <v>56</v>
      </c>
      <c r="D641" s="6" t="s">
        <v>259</v>
      </c>
      <c r="E641" s="7" t="n">
        <v>1</v>
      </c>
      <c r="F641" s="6"/>
    </row>
    <row r="642" customFormat="false" ht="15" hidden="false" customHeight="false" outlineLevel="0" collapsed="false">
      <c r="A642" s="22" t="n">
        <v>46547</v>
      </c>
      <c r="B642" s="23" t="str">
        <f aca="false">IFERROR(INDEX(Sprint!$A$2:$A$11,MATCH(A642,Sprint!$B$2:$B$11,1)),"")</f>
        <v>S6</v>
      </c>
      <c r="C642" s="6" t="s">
        <v>60</v>
      </c>
      <c r="D642" s="6" t="s">
        <v>262</v>
      </c>
      <c r="E642" s="7" t="n">
        <v>1</v>
      </c>
      <c r="F642" s="6"/>
    </row>
    <row r="643" customFormat="false" ht="15" hidden="false" customHeight="false" outlineLevel="0" collapsed="false">
      <c r="A643" s="22" t="n">
        <v>46547</v>
      </c>
      <c r="B643" s="23" t="str">
        <f aca="false">IFERROR(INDEX(Sprint!$A$2:$A$11,MATCH(A643,Sprint!$B$2:$B$11,1)),"")</f>
        <v>S6</v>
      </c>
      <c r="C643" s="6" t="s">
        <v>67</v>
      </c>
      <c r="D643" s="6" t="s">
        <v>263</v>
      </c>
      <c r="E643" s="7" t="n">
        <v>1</v>
      </c>
      <c r="F643" s="6"/>
    </row>
    <row r="644" customFormat="false" ht="15" hidden="false" customHeight="false" outlineLevel="0" collapsed="false">
      <c r="A644" s="22" t="n">
        <v>46547</v>
      </c>
      <c r="B644" s="23" t="str">
        <f aca="false">IFERROR(INDEX(Sprint!$A$2:$A$11,MATCH(A644,Sprint!$B$2:$B$11,1)),"")</f>
        <v>S6</v>
      </c>
      <c r="C644" s="6" t="s">
        <v>52</v>
      </c>
      <c r="D644" s="6" t="s">
        <v>266</v>
      </c>
      <c r="E644" s="7" t="n">
        <v>1</v>
      </c>
      <c r="F644" s="6"/>
    </row>
    <row r="645" customFormat="false" ht="15" hidden="false" customHeight="false" outlineLevel="0" collapsed="false">
      <c r="A645" s="22" t="n">
        <v>46547</v>
      </c>
      <c r="B645" s="23" t="str">
        <f aca="false">IFERROR(INDEX(Sprint!$A$2:$A$11,MATCH(A645,Sprint!$B$2:$B$11,1)),"")</f>
        <v>S6</v>
      </c>
      <c r="C645" s="6" t="s">
        <v>65</v>
      </c>
      <c r="D645" s="6" t="s">
        <v>264</v>
      </c>
      <c r="E645" s="7" t="n">
        <v>0.75</v>
      </c>
      <c r="F645" s="6"/>
    </row>
    <row r="646" customFormat="false" ht="15" hidden="false" customHeight="false" outlineLevel="0" collapsed="false">
      <c r="A646" s="22" t="n">
        <v>46547</v>
      </c>
      <c r="B646" s="23" t="str">
        <f aca="false">IFERROR(INDEX(Sprint!$A$2:$A$11,MATCH(A646,Sprint!$B$2:$B$11,1)),"")</f>
        <v>S6</v>
      </c>
      <c r="C646" s="6" t="s">
        <v>49</v>
      </c>
      <c r="D646" s="6" t="s">
        <v>264</v>
      </c>
      <c r="E646" s="7" t="n">
        <v>0.25</v>
      </c>
      <c r="F646" s="6"/>
    </row>
    <row r="647" customFormat="false" ht="15" hidden="false" customHeight="false" outlineLevel="0" collapsed="false">
      <c r="A647" s="22" t="n">
        <v>46547</v>
      </c>
      <c r="B647" s="23" t="str">
        <f aca="false">IFERROR(INDEX(Sprint!$A$2:$A$11,MATCH(A647,Sprint!$B$2:$B$11,1)),"")</f>
        <v>S6</v>
      </c>
      <c r="C647" s="6" t="s">
        <v>49</v>
      </c>
      <c r="D647" s="6" t="s">
        <v>260</v>
      </c>
      <c r="E647" s="7" t="n">
        <v>0.75</v>
      </c>
      <c r="F647" s="6"/>
    </row>
    <row r="648" customFormat="false" ht="15" hidden="false" customHeight="false" outlineLevel="0" collapsed="false">
      <c r="A648" s="22" t="n">
        <v>46547</v>
      </c>
      <c r="B648" s="23" t="str">
        <f aca="false">IFERROR(INDEX(Sprint!$A$2:$A$11,MATCH(A648,Sprint!$B$2:$B$11,1)),"")</f>
        <v>S6</v>
      </c>
      <c r="C648" s="6" t="s">
        <v>44</v>
      </c>
      <c r="D648" s="6" t="s">
        <v>256</v>
      </c>
      <c r="E648" s="7" t="n">
        <v>0.25</v>
      </c>
      <c r="F648" s="6"/>
    </row>
    <row r="649" customFormat="false" ht="15" hidden="false" customHeight="false" outlineLevel="0" collapsed="false">
      <c r="A649" s="22" t="n">
        <v>46547</v>
      </c>
      <c r="B649" s="23" t="str">
        <f aca="false">IFERROR(INDEX(Sprint!$A$2:$A$11,MATCH(A649,Sprint!$B$2:$B$11,1)),"")</f>
        <v>S6</v>
      </c>
      <c r="C649" s="6" t="s">
        <v>44</v>
      </c>
      <c r="D649" s="6" t="s">
        <v>261</v>
      </c>
      <c r="E649" s="7" t="n">
        <v>0.25</v>
      </c>
      <c r="F649" s="6"/>
    </row>
    <row r="650" customFormat="false" ht="15" hidden="false" customHeight="false" outlineLevel="0" collapsed="false">
      <c r="A650" s="22" t="n">
        <v>46547</v>
      </c>
      <c r="B650" s="23" t="str">
        <f aca="false">IFERROR(INDEX(Sprint!$A$2:$A$11,MATCH(A650,Sprint!$B$2:$B$11,1)),"")</f>
        <v>S6</v>
      </c>
      <c r="C650" s="6" t="s">
        <v>47</v>
      </c>
      <c r="D650" s="6" t="s">
        <v>264</v>
      </c>
      <c r="E650" s="7" t="n">
        <v>0.25</v>
      </c>
      <c r="F650" s="6"/>
    </row>
    <row r="651" customFormat="false" ht="15" hidden="false" customHeight="false" outlineLevel="0" collapsed="false">
      <c r="A651" s="22" t="n">
        <v>46547</v>
      </c>
      <c r="B651" s="23" t="str">
        <f aca="false">IFERROR(INDEX(Sprint!$A$2:$A$11,MATCH(A651,Sprint!$B$2:$B$11,1)),"")</f>
        <v>S6</v>
      </c>
      <c r="C651" s="6" t="s">
        <v>47</v>
      </c>
      <c r="D651" s="6" t="s">
        <v>256</v>
      </c>
      <c r="E651" s="7" t="n">
        <v>0.75</v>
      </c>
      <c r="F651" s="6"/>
    </row>
    <row r="652" customFormat="false" ht="15" hidden="false" customHeight="false" outlineLevel="0" collapsed="false">
      <c r="A652" s="22" t="n">
        <v>46547</v>
      </c>
      <c r="B652" s="23" t="str">
        <f aca="false">IFERROR(INDEX(Sprint!$A$2:$A$11,MATCH(A652,Sprint!$B$2:$B$11,1)),"")</f>
        <v>S6</v>
      </c>
      <c r="C652" s="6" t="s">
        <v>41</v>
      </c>
      <c r="D652" s="6" t="s">
        <v>265</v>
      </c>
      <c r="E652" s="7" t="n">
        <v>1</v>
      </c>
      <c r="F652" s="6"/>
    </row>
    <row r="653" customFormat="false" ht="15" hidden="false" customHeight="false" outlineLevel="0" collapsed="false">
      <c r="A653" s="22" t="n">
        <v>46548</v>
      </c>
      <c r="B653" s="23" t="str">
        <f aca="false">IFERROR(INDEX(Sprint!$A$2:$A$11,MATCH(A653,Sprint!$B$2:$B$11,1)),"")</f>
        <v>S6</v>
      </c>
      <c r="C653" s="6" t="s">
        <v>56</v>
      </c>
      <c r="D653" s="6" t="s">
        <v>259</v>
      </c>
      <c r="E653" s="7" t="n">
        <v>0.5</v>
      </c>
      <c r="F653" s="6"/>
    </row>
    <row r="654" customFormat="false" ht="15" hidden="false" customHeight="false" outlineLevel="0" collapsed="false">
      <c r="A654" s="22" t="n">
        <v>46548</v>
      </c>
      <c r="B654" s="23" t="str">
        <f aca="false">IFERROR(INDEX(Sprint!$A$2:$A$11,MATCH(A654,Sprint!$B$2:$B$11,1)),"")</f>
        <v>S6</v>
      </c>
      <c r="C654" s="6" t="s">
        <v>60</v>
      </c>
      <c r="D654" s="6" t="s">
        <v>262</v>
      </c>
      <c r="E654" s="7" t="n">
        <v>1</v>
      </c>
      <c r="F654" s="6"/>
    </row>
    <row r="655" customFormat="false" ht="15" hidden="false" customHeight="false" outlineLevel="0" collapsed="false">
      <c r="A655" s="22" t="n">
        <v>46548</v>
      </c>
      <c r="B655" s="23" t="str">
        <f aca="false">IFERROR(INDEX(Sprint!$A$2:$A$11,MATCH(A655,Sprint!$B$2:$B$11,1)),"")</f>
        <v>S6</v>
      </c>
      <c r="C655" s="6" t="s">
        <v>67</v>
      </c>
      <c r="D655" s="6" t="s">
        <v>263</v>
      </c>
      <c r="E655" s="7" t="n">
        <v>1</v>
      </c>
      <c r="F655" s="6"/>
    </row>
    <row r="656" customFormat="false" ht="15" hidden="false" customHeight="false" outlineLevel="0" collapsed="false">
      <c r="A656" s="22" t="n">
        <v>46548</v>
      </c>
      <c r="B656" s="23" t="str">
        <f aca="false">IFERROR(INDEX(Sprint!$A$2:$A$11,MATCH(A656,Sprint!$B$2:$B$11,1)),"")</f>
        <v>S6</v>
      </c>
      <c r="C656" s="6" t="s">
        <v>52</v>
      </c>
      <c r="D656" s="6" t="s">
        <v>266</v>
      </c>
      <c r="E656" s="7" t="n">
        <v>1</v>
      </c>
      <c r="F656" s="6"/>
    </row>
    <row r="657" customFormat="false" ht="15" hidden="false" customHeight="false" outlineLevel="0" collapsed="false">
      <c r="A657" s="22" t="n">
        <v>46548</v>
      </c>
      <c r="B657" s="23" t="str">
        <f aca="false">IFERROR(INDEX(Sprint!$A$2:$A$11,MATCH(A657,Sprint!$B$2:$B$11,1)),"")</f>
        <v>S6</v>
      </c>
      <c r="C657" s="6" t="s">
        <v>65</v>
      </c>
      <c r="D657" s="6" t="s">
        <v>264</v>
      </c>
      <c r="E657" s="7" t="n">
        <v>0.25</v>
      </c>
      <c r="F657" s="6"/>
    </row>
    <row r="658" customFormat="false" ht="15" hidden="false" customHeight="false" outlineLevel="0" collapsed="false">
      <c r="A658" s="22" t="n">
        <v>46548</v>
      </c>
      <c r="B658" s="23" t="str">
        <f aca="false">IFERROR(INDEX(Sprint!$A$2:$A$11,MATCH(A658,Sprint!$B$2:$B$11,1)),"")</f>
        <v>S6</v>
      </c>
      <c r="C658" s="6" t="s">
        <v>49</v>
      </c>
      <c r="D658" s="6" t="s">
        <v>264</v>
      </c>
      <c r="E658" s="7" t="n">
        <v>0.25</v>
      </c>
      <c r="F658" s="6"/>
    </row>
    <row r="659" customFormat="false" ht="15" hidden="false" customHeight="false" outlineLevel="0" collapsed="false">
      <c r="A659" s="22" t="n">
        <v>46548</v>
      </c>
      <c r="B659" s="23" t="str">
        <f aca="false">IFERROR(INDEX(Sprint!$A$2:$A$11,MATCH(A659,Sprint!$B$2:$B$11,1)),"")</f>
        <v>S6</v>
      </c>
      <c r="C659" s="6" t="s">
        <v>49</v>
      </c>
      <c r="D659" s="6" t="s">
        <v>260</v>
      </c>
      <c r="E659" s="7" t="n">
        <v>0.75</v>
      </c>
      <c r="F659" s="6"/>
    </row>
    <row r="660" customFormat="false" ht="15" hidden="false" customHeight="false" outlineLevel="0" collapsed="false">
      <c r="A660" s="22" t="n">
        <v>46548</v>
      </c>
      <c r="B660" s="23" t="str">
        <f aca="false">IFERROR(INDEX(Sprint!$A$2:$A$11,MATCH(A660,Sprint!$B$2:$B$11,1)),"")</f>
        <v>S6</v>
      </c>
      <c r="C660" s="6" t="s">
        <v>44</v>
      </c>
      <c r="D660" s="6" t="s">
        <v>256</v>
      </c>
      <c r="E660" s="7" t="n">
        <v>0.25</v>
      </c>
      <c r="F660" s="6"/>
    </row>
    <row r="661" customFormat="false" ht="15" hidden="false" customHeight="false" outlineLevel="0" collapsed="false">
      <c r="A661" s="22" t="n">
        <v>46548</v>
      </c>
      <c r="B661" s="23" t="str">
        <f aca="false">IFERROR(INDEX(Sprint!$A$2:$A$11,MATCH(A661,Sprint!$B$2:$B$11,1)),"")</f>
        <v>S6</v>
      </c>
      <c r="C661" s="6" t="s">
        <v>44</v>
      </c>
      <c r="D661" s="6" t="s">
        <v>261</v>
      </c>
      <c r="E661" s="7" t="n">
        <v>0.25</v>
      </c>
      <c r="F661" s="6"/>
    </row>
    <row r="662" customFormat="false" ht="15" hidden="false" customHeight="false" outlineLevel="0" collapsed="false">
      <c r="A662" s="22" t="n">
        <v>46548</v>
      </c>
      <c r="B662" s="23" t="str">
        <f aca="false">IFERROR(INDEX(Sprint!$A$2:$A$11,MATCH(A662,Sprint!$B$2:$B$11,1)),"")</f>
        <v>S6</v>
      </c>
      <c r="C662" s="6" t="s">
        <v>47</v>
      </c>
      <c r="D662" s="6" t="s">
        <v>264</v>
      </c>
      <c r="E662" s="7" t="n">
        <v>0.75</v>
      </c>
      <c r="F662" s="6"/>
    </row>
    <row r="663" customFormat="false" ht="15" hidden="false" customHeight="false" outlineLevel="0" collapsed="false">
      <c r="A663" s="22" t="n">
        <v>46548</v>
      </c>
      <c r="B663" s="23" t="str">
        <f aca="false">IFERROR(INDEX(Sprint!$A$2:$A$11,MATCH(A663,Sprint!$B$2:$B$11,1)),"")</f>
        <v>S6</v>
      </c>
      <c r="C663" s="6" t="s">
        <v>47</v>
      </c>
      <c r="D663" s="6" t="s">
        <v>256</v>
      </c>
      <c r="E663" s="7" t="n">
        <v>0.25</v>
      </c>
      <c r="F663" s="6"/>
    </row>
    <row r="664" customFormat="false" ht="15" hidden="false" customHeight="false" outlineLevel="0" collapsed="false">
      <c r="A664" s="22" t="n">
        <v>46548</v>
      </c>
      <c r="B664" s="23" t="str">
        <f aca="false">IFERROR(INDEX(Sprint!$A$2:$A$11,MATCH(A664,Sprint!$B$2:$B$11,1)),"")</f>
        <v>S6</v>
      </c>
      <c r="C664" s="6" t="s">
        <v>41</v>
      </c>
      <c r="D664" s="6" t="s">
        <v>265</v>
      </c>
      <c r="E664" s="7" t="n">
        <v>1</v>
      </c>
      <c r="F664" s="6"/>
    </row>
    <row r="665" customFormat="false" ht="15" hidden="false" customHeight="false" outlineLevel="0" collapsed="false">
      <c r="A665" s="22" t="n">
        <v>46549</v>
      </c>
      <c r="B665" s="23" t="str">
        <f aca="false">IFERROR(INDEX(Sprint!$A$2:$A$11,MATCH(A665,Sprint!$B$2:$B$11,1)),"")</f>
        <v>S6</v>
      </c>
      <c r="C665" s="6" t="s">
        <v>56</v>
      </c>
      <c r="D665" s="6" t="s">
        <v>267</v>
      </c>
      <c r="E665" s="7" t="n">
        <v>1</v>
      </c>
      <c r="F665" s="6"/>
    </row>
    <row r="666" customFormat="false" ht="15" hidden="false" customHeight="false" outlineLevel="0" collapsed="false">
      <c r="A666" s="22" t="n">
        <v>46549</v>
      </c>
      <c r="B666" s="23" t="str">
        <f aca="false">IFERROR(INDEX(Sprint!$A$2:$A$11,MATCH(A666,Sprint!$B$2:$B$11,1)),"")</f>
        <v>S6</v>
      </c>
      <c r="C666" s="6" t="s">
        <v>58</v>
      </c>
      <c r="D666" s="6" t="s">
        <v>267</v>
      </c>
      <c r="E666" s="7" t="n">
        <v>1</v>
      </c>
      <c r="F666" s="6"/>
    </row>
    <row r="667" customFormat="false" ht="15" hidden="false" customHeight="false" outlineLevel="0" collapsed="false">
      <c r="A667" s="22" t="n">
        <v>46549</v>
      </c>
      <c r="B667" s="23" t="str">
        <f aca="false">IFERROR(INDEX(Sprint!$A$2:$A$11,MATCH(A667,Sprint!$B$2:$B$11,1)),"")</f>
        <v>S6</v>
      </c>
      <c r="C667" s="6" t="s">
        <v>67</v>
      </c>
      <c r="D667" s="6" t="s">
        <v>263</v>
      </c>
      <c r="E667" s="7" t="n">
        <v>1</v>
      </c>
      <c r="F667" s="6"/>
    </row>
    <row r="668" customFormat="false" ht="15" hidden="false" customHeight="false" outlineLevel="0" collapsed="false">
      <c r="A668" s="22" t="n">
        <v>46549</v>
      </c>
      <c r="B668" s="23" t="str">
        <f aca="false">IFERROR(INDEX(Sprint!$A$2:$A$11,MATCH(A668,Sprint!$B$2:$B$11,1)),"")</f>
        <v>S6</v>
      </c>
      <c r="C668" s="6" t="s">
        <v>52</v>
      </c>
      <c r="D668" s="6" t="s">
        <v>266</v>
      </c>
      <c r="E668" s="7" t="n">
        <v>1</v>
      </c>
      <c r="F668" s="6"/>
    </row>
    <row r="669" customFormat="false" ht="15" hidden="false" customHeight="false" outlineLevel="0" collapsed="false">
      <c r="A669" s="22" t="n">
        <v>46549</v>
      </c>
      <c r="B669" s="23" t="str">
        <f aca="false">IFERROR(INDEX(Sprint!$A$2:$A$11,MATCH(A669,Sprint!$B$2:$B$11,1)),"")</f>
        <v>S6</v>
      </c>
      <c r="C669" s="6" t="s">
        <v>65</v>
      </c>
      <c r="D669" s="6" t="s">
        <v>264</v>
      </c>
      <c r="E669" s="7" t="n">
        <v>0.25</v>
      </c>
      <c r="F669" s="6"/>
    </row>
    <row r="670" customFormat="false" ht="15" hidden="false" customHeight="false" outlineLevel="0" collapsed="false">
      <c r="A670" s="22" t="n">
        <v>46549</v>
      </c>
      <c r="B670" s="23" t="str">
        <f aca="false">IFERROR(INDEX(Sprint!$A$2:$A$11,MATCH(A670,Sprint!$B$2:$B$11,1)),"")</f>
        <v>S6</v>
      </c>
      <c r="C670" s="6" t="s">
        <v>37</v>
      </c>
      <c r="D670" s="6" t="s">
        <v>150</v>
      </c>
      <c r="E670" s="7" t="n">
        <v>0.25</v>
      </c>
      <c r="F670" s="6"/>
    </row>
    <row r="671" customFormat="false" ht="15" hidden="false" customHeight="false" outlineLevel="0" collapsed="false">
      <c r="A671" s="22" t="n">
        <v>46549</v>
      </c>
      <c r="B671" s="23" t="str">
        <f aca="false">IFERROR(INDEX(Sprint!$A$2:$A$11,MATCH(A671,Sprint!$B$2:$B$11,1)),"")</f>
        <v>S6</v>
      </c>
      <c r="C671" s="6" t="s">
        <v>37</v>
      </c>
      <c r="D671" s="6" t="s">
        <v>155</v>
      </c>
      <c r="E671" s="7" t="n">
        <v>0.25</v>
      </c>
      <c r="F671" s="6"/>
    </row>
    <row r="672" customFormat="false" ht="15" hidden="false" customHeight="false" outlineLevel="0" collapsed="false">
      <c r="A672" s="22" t="n">
        <v>46549</v>
      </c>
      <c r="B672" s="23" t="str">
        <f aca="false">IFERROR(INDEX(Sprint!$A$2:$A$11,MATCH(A672,Sprint!$B$2:$B$11,1)),"")</f>
        <v>S6</v>
      </c>
      <c r="C672" s="6" t="s">
        <v>37</v>
      </c>
      <c r="D672" s="6" t="s">
        <v>159</v>
      </c>
      <c r="E672" s="7" t="n">
        <v>0.25</v>
      </c>
      <c r="F672" s="6"/>
    </row>
    <row r="673" customFormat="false" ht="15" hidden="false" customHeight="false" outlineLevel="0" collapsed="false">
      <c r="A673" s="22" t="n">
        <v>46549</v>
      </c>
      <c r="B673" s="23" t="str">
        <f aca="false">IFERROR(INDEX(Sprint!$A$2:$A$11,MATCH(A673,Sprint!$B$2:$B$11,1)),"")</f>
        <v>S6</v>
      </c>
      <c r="C673" s="6" t="s">
        <v>37</v>
      </c>
      <c r="D673" s="6" t="s">
        <v>175</v>
      </c>
      <c r="E673" s="7" t="n">
        <v>0.25</v>
      </c>
      <c r="F673" s="6"/>
    </row>
    <row r="674" customFormat="false" ht="15" hidden="false" customHeight="false" outlineLevel="0" collapsed="false">
      <c r="A674" s="22" t="n">
        <v>46549</v>
      </c>
      <c r="B674" s="23" t="str">
        <f aca="false">IFERROR(INDEX(Sprint!$A$2:$A$11,MATCH(A674,Sprint!$B$2:$B$11,1)),"")</f>
        <v>S6</v>
      </c>
      <c r="C674" s="6" t="s">
        <v>49</v>
      </c>
      <c r="D674" s="6" t="s">
        <v>264</v>
      </c>
      <c r="E674" s="7" t="n">
        <v>0.25</v>
      </c>
      <c r="F674" s="6"/>
    </row>
    <row r="675" customFormat="false" ht="15" hidden="false" customHeight="false" outlineLevel="0" collapsed="false">
      <c r="A675" s="22" t="n">
        <v>46549</v>
      </c>
      <c r="B675" s="23" t="str">
        <f aca="false">IFERROR(INDEX(Sprint!$A$2:$A$11,MATCH(A675,Sprint!$B$2:$B$11,1)),"")</f>
        <v>S6</v>
      </c>
      <c r="C675" s="6" t="s">
        <v>49</v>
      </c>
      <c r="D675" s="6" t="s">
        <v>260</v>
      </c>
      <c r="E675" s="7" t="n">
        <v>0.75</v>
      </c>
      <c r="F675" s="6"/>
    </row>
    <row r="676" customFormat="false" ht="15" hidden="false" customHeight="false" outlineLevel="0" collapsed="false">
      <c r="A676" s="22" t="n">
        <v>46549</v>
      </c>
      <c r="B676" s="23" t="str">
        <f aca="false">IFERROR(INDEX(Sprint!$A$2:$A$11,MATCH(A676,Sprint!$B$2:$B$11,1)),"")</f>
        <v>S6</v>
      </c>
      <c r="C676" s="6" t="s">
        <v>44</v>
      </c>
      <c r="D676" s="6" t="s">
        <v>261</v>
      </c>
      <c r="E676" s="7" t="n">
        <v>0.25</v>
      </c>
      <c r="F676" s="6"/>
    </row>
    <row r="677" customFormat="false" ht="15" hidden="false" customHeight="false" outlineLevel="0" collapsed="false">
      <c r="A677" s="22" t="n">
        <v>46549</v>
      </c>
      <c r="B677" s="23" t="str">
        <f aca="false">IFERROR(INDEX(Sprint!$A$2:$A$11,MATCH(A677,Sprint!$B$2:$B$11,1)),"")</f>
        <v>S6</v>
      </c>
      <c r="C677" s="6" t="s">
        <v>47</v>
      </c>
      <c r="D677" s="6" t="s">
        <v>268</v>
      </c>
      <c r="E677" s="7" t="n">
        <v>1</v>
      </c>
      <c r="F677" s="6"/>
    </row>
    <row r="678" customFormat="false" ht="15" hidden="false" customHeight="false" outlineLevel="0" collapsed="false">
      <c r="A678" s="22" t="n">
        <v>46549</v>
      </c>
      <c r="B678" s="23" t="str">
        <f aca="false">IFERROR(INDEX(Sprint!$A$2:$A$11,MATCH(A678,Sprint!$B$2:$B$11,1)),"")</f>
        <v>S6</v>
      </c>
      <c r="C678" s="6" t="s">
        <v>41</v>
      </c>
      <c r="D678" s="6" t="s">
        <v>265</v>
      </c>
      <c r="E678" s="7" t="n">
        <v>1</v>
      </c>
      <c r="F678" s="6"/>
    </row>
    <row r="679" customFormat="false" ht="15" hidden="false" customHeight="false" outlineLevel="0" collapsed="false">
      <c r="A679" s="22" t="n">
        <v>46552</v>
      </c>
      <c r="B679" s="23" t="str">
        <f aca="false">IFERROR(INDEX(Sprint!$A$2:$A$11,MATCH(A679,Sprint!$B$2:$B$11,1)),"")</f>
        <v>S6</v>
      </c>
      <c r="C679" s="6" t="s">
        <v>56</v>
      </c>
      <c r="D679" s="6" t="s">
        <v>267</v>
      </c>
      <c r="E679" s="7" t="n">
        <v>1</v>
      </c>
      <c r="F679" s="6"/>
    </row>
    <row r="680" customFormat="false" ht="15" hidden="false" customHeight="false" outlineLevel="0" collapsed="false">
      <c r="A680" s="22" t="n">
        <v>46552</v>
      </c>
      <c r="B680" s="23" t="str">
        <f aca="false">IFERROR(INDEX(Sprint!$A$2:$A$11,MATCH(A680,Sprint!$B$2:$B$11,1)),"")</f>
        <v>S6</v>
      </c>
      <c r="C680" s="6" t="s">
        <v>58</v>
      </c>
      <c r="D680" s="6" t="s">
        <v>267</v>
      </c>
      <c r="E680" s="7" t="n">
        <v>1</v>
      </c>
      <c r="F680" s="6"/>
    </row>
    <row r="681" customFormat="false" ht="15" hidden="false" customHeight="false" outlineLevel="0" collapsed="false">
      <c r="A681" s="22" t="n">
        <v>46552</v>
      </c>
      <c r="B681" s="23" t="str">
        <f aca="false">IFERROR(INDEX(Sprint!$A$2:$A$11,MATCH(A681,Sprint!$B$2:$B$11,1)),"")</f>
        <v>S6</v>
      </c>
      <c r="C681" s="6" t="s">
        <v>67</v>
      </c>
      <c r="D681" s="6" t="s">
        <v>252</v>
      </c>
      <c r="E681" s="7" t="n">
        <v>1</v>
      </c>
      <c r="F681" s="6"/>
    </row>
    <row r="682" customFormat="false" ht="15" hidden="false" customHeight="false" outlineLevel="0" collapsed="false">
      <c r="A682" s="22" t="n">
        <v>46552</v>
      </c>
      <c r="B682" s="23" t="str">
        <f aca="false">IFERROR(INDEX(Sprint!$A$2:$A$11,MATCH(A682,Sprint!$B$2:$B$11,1)),"")</f>
        <v>S6</v>
      </c>
      <c r="C682" s="6" t="s">
        <v>52</v>
      </c>
      <c r="D682" s="6" t="s">
        <v>266</v>
      </c>
      <c r="E682" s="7" t="n">
        <v>1</v>
      </c>
      <c r="F682" s="6"/>
    </row>
    <row r="683" customFormat="false" ht="15" hidden="false" customHeight="false" outlineLevel="0" collapsed="false">
      <c r="A683" s="22" t="n">
        <v>46552</v>
      </c>
      <c r="B683" s="23" t="str">
        <f aca="false">IFERROR(INDEX(Sprint!$A$2:$A$11,MATCH(A683,Sprint!$B$2:$B$11,1)),"")</f>
        <v>S6</v>
      </c>
      <c r="C683" s="6" t="s">
        <v>65</v>
      </c>
      <c r="D683" s="6" t="s">
        <v>264</v>
      </c>
      <c r="E683" s="7" t="n">
        <v>0.25</v>
      </c>
      <c r="F683" s="6"/>
    </row>
    <row r="684" customFormat="false" ht="15" hidden="false" customHeight="false" outlineLevel="0" collapsed="false">
      <c r="A684" s="22" t="n">
        <v>46552</v>
      </c>
      <c r="B684" s="23" t="str">
        <f aca="false">IFERROR(INDEX(Sprint!$A$2:$A$11,MATCH(A684,Sprint!$B$2:$B$11,1)),"")</f>
        <v>S6</v>
      </c>
      <c r="C684" s="6" t="s">
        <v>65</v>
      </c>
      <c r="D684" s="6" t="s">
        <v>269</v>
      </c>
      <c r="E684" s="7" t="n">
        <v>0.75</v>
      </c>
      <c r="F684" s="6"/>
    </row>
    <row r="685" customFormat="false" ht="15" hidden="false" customHeight="false" outlineLevel="0" collapsed="false">
      <c r="A685" s="22" t="n">
        <v>46552</v>
      </c>
      <c r="B685" s="23" t="str">
        <f aca="false">IFERROR(INDEX(Sprint!$A$2:$A$11,MATCH(A685,Sprint!$B$2:$B$11,1)),"")</f>
        <v>S6</v>
      </c>
      <c r="C685" s="6" t="s">
        <v>37</v>
      </c>
      <c r="D685" s="6" t="s">
        <v>157</v>
      </c>
      <c r="E685" s="7" t="n">
        <v>0.25</v>
      </c>
      <c r="F685" s="6"/>
    </row>
    <row r="686" customFormat="false" ht="15" hidden="false" customHeight="false" outlineLevel="0" collapsed="false">
      <c r="A686" s="22" t="n">
        <v>46552</v>
      </c>
      <c r="B686" s="23" t="str">
        <f aca="false">IFERROR(INDEX(Sprint!$A$2:$A$11,MATCH(A686,Sprint!$B$2:$B$11,1)),"")</f>
        <v>S6</v>
      </c>
      <c r="C686" s="6" t="s">
        <v>37</v>
      </c>
      <c r="D686" s="6" t="s">
        <v>168</v>
      </c>
      <c r="E686" s="7" t="n">
        <v>0.25</v>
      </c>
      <c r="F686" s="6"/>
    </row>
    <row r="687" customFormat="false" ht="15" hidden="false" customHeight="false" outlineLevel="0" collapsed="false">
      <c r="A687" s="22" t="n">
        <v>46552</v>
      </c>
      <c r="B687" s="23" t="str">
        <f aca="false">IFERROR(INDEX(Sprint!$A$2:$A$11,MATCH(A687,Sprint!$B$2:$B$11,1)),"")</f>
        <v>S6</v>
      </c>
      <c r="C687" s="6" t="s">
        <v>37</v>
      </c>
      <c r="D687" s="6" t="s">
        <v>185</v>
      </c>
      <c r="E687" s="7" t="n">
        <v>0.25</v>
      </c>
      <c r="F687" s="6"/>
    </row>
    <row r="688" customFormat="false" ht="15" hidden="false" customHeight="false" outlineLevel="0" collapsed="false">
      <c r="A688" s="22" t="n">
        <v>46552</v>
      </c>
      <c r="B688" s="23" t="str">
        <f aca="false">IFERROR(INDEX(Sprint!$A$2:$A$11,MATCH(A688,Sprint!$B$2:$B$11,1)),"")</f>
        <v>S6</v>
      </c>
      <c r="C688" s="6" t="s">
        <v>37</v>
      </c>
      <c r="D688" s="6" t="s">
        <v>245</v>
      </c>
      <c r="E688" s="7" t="n">
        <v>0.25</v>
      </c>
      <c r="F688" s="6"/>
    </row>
    <row r="689" customFormat="false" ht="15" hidden="false" customHeight="false" outlineLevel="0" collapsed="false">
      <c r="A689" s="22" t="n">
        <v>46552</v>
      </c>
      <c r="B689" s="23" t="str">
        <f aca="false">IFERROR(INDEX(Sprint!$A$2:$A$11,MATCH(A689,Sprint!$B$2:$B$11,1)),"")</f>
        <v>S6</v>
      </c>
      <c r="C689" s="6" t="s">
        <v>49</v>
      </c>
      <c r="D689" s="6" t="s">
        <v>264</v>
      </c>
      <c r="E689" s="7" t="n">
        <v>0.25</v>
      </c>
      <c r="F689" s="6"/>
    </row>
    <row r="690" customFormat="false" ht="15" hidden="false" customHeight="false" outlineLevel="0" collapsed="false">
      <c r="A690" s="22" t="n">
        <v>46552</v>
      </c>
      <c r="B690" s="23" t="str">
        <f aca="false">IFERROR(INDEX(Sprint!$A$2:$A$11,MATCH(A690,Sprint!$B$2:$B$11,1)),"")</f>
        <v>S6</v>
      </c>
      <c r="C690" s="6" t="s">
        <v>49</v>
      </c>
      <c r="D690" s="6" t="s">
        <v>270</v>
      </c>
      <c r="E690" s="7" t="n">
        <v>0.75</v>
      </c>
      <c r="F690" s="6"/>
    </row>
    <row r="691" customFormat="false" ht="15" hidden="false" customHeight="false" outlineLevel="0" collapsed="false">
      <c r="A691" s="22" t="n">
        <v>46552</v>
      </c>
      <c r="B691" s="23" t="str">
        <f aca="false">IFERROR(INDEX(Sprint!$A$2:$A$11,MATCH(A691,Sprint!$B$2:$B$11,1)),"")</f>
        <v>S6</v>
      </c>
      <c r="C691" s="6" t="s">
        <v>44</v>
      </c>
      <c r="D691" s="6" t="s">
        <v>261</v>
      </c>
      <c r="E691" s="7" t="n">
        <v>0.25</v>
      </c>
      <c r="F691" s="6"/>
    </row>
    <row r="692" customFormat="false" ht="15" hidden="false" customHeight="false" outlineLevel="0" collapsed="false">
      <c r="A692" s="22" t="n">
        <v>46552</v>
      </c>
      <c r="B692" s="23" t="str">
        <f aca="false">IFERROR(INDEX(Sprint!$A$2:$A$11,MATCH(A692,Sprint!$B$2:$B$11,1)),"")</f>
        <v>S6</v>
      </c>
      <c r="C692" s="6" t="s">
        <v>47</v>
      </c>
      <c r="D692" s="6" t="s">
        <v>268</v>
      </c>
      <c r="E692" s="7" t="n">
        <v>1</v>
      </c>
      <c r="F692" s="6"/>
    </row>
    <row r="693" customFormat="false" ht="15" hidden="false" customHeight="false" outlineLevel="0" collapsed="false">
      <c r="A693" s="22" t="n">
        <v>46552</v>
      </c>
      <c r="B693" s="23" t="str">
        <f aca="false">IFERROR(INDEX(Sprint!$A$2:$A$11,MATCH(A693,Sprint!$B$2:$B$11,1)),"")</f>
        <v>S6</v>
      </c>
      <c r="C693" s="6" t="s">
        <v>41</v>
      </c>
      <c r="D693" s="6" t="s">
        <v>265</v>
      </c>
      <c r="E693" s="7" t="n">
        <v>1</v>
      </c>
      <c r="F693" s="6"/>
    </row>
    <row r="694" customFormat="false" ht="15" hidden="false" customHeight="false" outlineLevel="0" collapsed="false">
      <c r="A694" s="22" t="n">
        <v>46553</v>
      </c>
      <c r="B694" s="23" t="str">
        <f aca="false">IFERROR(INDEX(Sprint!$A$2:$A$11,MATCH(A694,Sprint!$B$2:$B$11,1)),"")</f>
        <v>S6</v>
      </c>
      <c r="C694" s="6" t="s">
        <v>56</v>
      </c>
      <c r="D694" s="6" t="s">
        <v>271</v>
      </c>
      <c r="E694" s="7" t="n">
        <v>1</v>
      </c>
      <c r="F694" s="6"/>
    </row>
    <row r="695" customFormat="false" ht="15" hidden="false" customHeight="false" outlineLevel="0" collapsed="false">
      <c r="A695" s="22" t="n">
        <v>46553</v>
      </c>
      <c r="B695" s="23" t="str">
        <f aca="false">IFERROR(INDEX(Sprint!$A$2:$A$11,MATCH(A695,Sprint!$B$2:$B$11,1)),"")</f>
        <v>S6</v>
      </c>
      <c r="C695" s="6" t="s">
        <v>58</v>
      </c>
      <c r="D695" s="6" t="s">
        <v>272</v>
      </c>
      <c r="E695" s="7" t="n">
        <v>1</v>
      </c>
      <c r="F695" s="6"/>
    </row>
    <row r="696" customFormat="false" ht="15" hidden="false" customHeight="false" outlineLevel="0" collapsed="false">
      <c r="A696" s="22" t="n">
        <v>46553</v>
      </c>
      <c r="B696" s="23" t="str">
        <f aca="false">IFERROR(INDEX(Sprint!$A$2:$A$11,MATCH(A696,Sprint!$B$2:$B$11,1)),"")</f>
        <v>S6</v>
      </c>
      <c r="C696" s="6" t="s">
        <v>60</v>
      </c>
      <c r="D696" s="6" t="s">
        <v>271</v>
      </c>
      <c r="E696" s="7" t="n">
        <v>1</v>
      </c>
      <c r="F696" s="6"/>
    </row>
    <row r="697" customFormat="false" ht="15" hidden="false" customHeight="false" outlineLevel="0" collapsed="false">
      <c r="A697" s="22" t="n">
        <v>46553</v>
      </c>
      <c r="B697" s="23" t="str">
        <f aca="false">IFERROR(INDEX(Sprint!$A$2:$A$11,MATCH(A697,Sprint!$B$2:$B$11,1)),"")</f>
        <v>S6</v>
      </c>
      <c r="C697" s="6" t="s">
        <v>67</v>
      </c>
      <c r="D697" s="6" t="s">
        <v>273</v>
      </c>
      <c r="E697" s="7" t="n">
        <v>1</v>
      </c>
      <c r="F697" s="6"/>
    </row>
    <row r="698" customFormat="false" ht="15" hidden="false" customHeight="false" outlineLevel="0" collapsed="false">
      <c r="A698" s="22" t="n">
        <v>46553</v>
      </c>
      <c r="B698" s="23" t="str">
        <f aca="false">IFERROR(INDEX(Sprint!$A$2:$A$11,MATCH(A698,Sprint!$B$2:$B$11,1)),"")</f>
        <v>S6</v>
      </c>
      <c r="C698" s="6" t="s">
        <v>52</v>
      </c>
      <c r="D698" s="6" t="s">
        <v>274</v>
      </c>
      <c r="E698" s="7" t="n">
        <v>1</v>
      </c>
      <c r="F698" s="6"/>
    </row>
    <row r="699" customFormat="false" ht="15" hidden="false" customHeight="false" outlineLevel="0" collapsed="false">
      <c r="A699" s="22" t="n">
        <v>46553</v>
      </c>
      <c r="B699" s="23" t="str">
        <f aca="false">IFERROR(INDEX(Sprint!$A$2:$A$11,MATCH(A699,Sprint!$B$2:$B$11,1)),"")</f>
        <v>S6</v>
      </c>
      <c r="C699" s="6" t="s">
        <v>65</v>
      </c>
      <c r="D699" s="6" t="s">
        <v>264</v>
      </c>
      <c r="E699" s="7" t="n">
        <v>0.25</v>
      </c>
      <c r="F699" s="6"/>
    </row>
    <row r="700" customFormat="false" ht="15" hidden="false" customHeight="false" outlineLevel="0" collapsed="false">
      <c r="A700" s="22" t="n">
        <v>46553</v>
      </c>
      <c r="B700" s="23" t="str">
        <f aca="false">IFERROR(INDEX(Sprint!$A$2:$A$11,MATCH(A700,Sprint!$B$2:$B$11,1)),"")</f>
        <v>S6</v>
      </c>
      <c r="C700" s="6" t="s">
        <v>65</v>
      </c>
      <c r="D700" s="6" t="s">
        <v>269</v>
      </c>
      <c r="E700" s="7" t="n">
        <v>0.75</v>
      </c>
      <c r="F700" s="6"/>
    </row>
    <row r="701" customFormat="false" ht="15" hidden="false" customHeight="false" outlineLevel="0" collapsed="false">
      <c r="A701" s="22" t="n">
        <v>46553</v>
      </c>
      <c r="B701" s="23" t="str">
        <f aca="false">IFERROR(INDEX(Sprint!$A$2:$A$11,MATCH(A701,Sprint!$B$2:$B$11,1)),"")</f>
        <v>S6</v>
      </c>
      <c r="C701" s="6" t="s">
        <v>49</v>
      </c>
      <c r="D701" s="6" t="s">
        <v>264</v>
      </c>
      <c r="E701" s="7" t="n">
        <v>0.25</v>
      </c>
      <c r="F701" s="6"/>
    </row>
    <row r="702" customFormat="false" ht="15" hidden="false" customHeight="false" outlineLevel="0" collapsed="false">
      <c r="A702" s="22" t="n">
        <v>46553</v>
      </c>
      <c r="B702" s="23" t="str">
        <f aca="false">IFERROR(INDEX(Sprint!$A$2:$A$11,MATCH(A702,Sprint!$B$2:$B$11,1)),"")</f>
        <v>S6</v>
      </c>
      <c r="C702" s="6" t="s">
        <v>49</v>
      </c>
      <c r="D702" s="6" t="s">
        <v>261</v>
      </c>
      <c r="E702" s="7" t="n">
        <v>0.25</v>
      </c>
      <c r="F702" s="6"/>
    </row>
    <row r="703" customFormat="false" ht="15" hidden="false" customHeight="false" outlineLevel="0" collapsed="false">
      <c r="A703" s="22" t="n">
        <v>46553</v>
      </c>
      <c r="B703" s="23" t="str">
        <f aca="false">IFERROR(INDEX(Sprint!$A$2:$A$11,MATCH(A703,Sprint!$B$2:$B$11,1)),"")</f>
        <v>S6</v>
      </c>
      <c r="C703" s="6" t="s">
        <v>49</v>
      </c>
      <c r="D703" s="6" t="s">
        <v>270</v>
      </c>
      <c r="E703" s="7" t="n">
        <v>0.5</v>
      </c>
      <c r="F703" s="6"/>
    </row>
    <row r="704" customFormat="false" ht="15" hidden="false" customHeight="false" outlineLevel="0" collapsed="false">
      <c r="A704" s="22" t="n">
        <v>46553</v>
      </c>
      <c r="B704" s="23" t="str">
        <f aca="false">IFERROR(INDEX(Sprint!$A$2:$A$11,MATCH(A704,Sprint!$B$2:$B$11,1)),"")</f>
        <v>S6</v>
      </c>
      <c r="C704" s="6" t="s">
        <v>44</v>
      </c>
      <c r="D704" s="6" t="s">
        <v>261</v>
      </c>
      <c r="E704" s="7" t="n">
        <v>0.25</v>
      </c>
      <c r="F704" s="6"/>
    </row>
    <row r="705" customFormat="false" ht="15" hidden="false" customHeight="false" outlineLevel="0" collapsed="false">
      <c r="A705" s="22" t="n">
        <v>46553</v>
      </c>
      <c r="B705" s="23" t="str">
        <f aca="false">IFERROR(INDEX(Sprint!$A$2:$A$11,MATCH(A705,Sprint!$B$2:$B$11,1)),"")</f>
        <v>S6</v>
      </c>
      <c r="C705" s="6" t="s">
        <v>47</v>
      </c>
      <c r="D705" s="6" t="s">
        <v>268</v>
      </c>
      <c r="E705" s="7" t="n">
        <v>1</v>
      </c>
      <c r="F705" s="6"/>
    </row>
    <row r="706" customFormat="false" ht="15" hidden="false" customHeight="false" outlineLevel="0" collapsed="false">
      <c r="A706" s="22" t="n">
        <v>46553</v>
      </c>
      <c r="B706" s="23" t="str">
        <f aca="false">IFERROR(INDEX(Sprint!$A$2:$A$11,MATCH(A706,Sprint!$B$2:$B$11,1)),"")</f>
        <v>S6</v>
      </c>
      <c r="C706" s="6" t="s">
        <v>41</v>
      </c>
      <c r="D706" s="6" t="s">
        <v>275</v>
      </c>
      <c r="E706" s="7" t="n">
        <v>1</v>
      </c>
      <c r="F706" s="6"/>
    </row>
    <row r="707" customFormat="false" ht="15" hidden="false" customHeight="false" outlineLevel="0" collapsed="false">
      <c r="A707" s="22" t="n">
        <v>46554</v>
      </c>
      <c r="B707" s="23" t="str">
        <f aca="false">IFERROR(INDEX(Sprint!$A$2:$A$11,MATCH(A707,Sprint!$B$2:$B$11,1)),"")</f>
        <v>S6</v>
      </c>
      <c r="C707" s="6" t="s">
        <v>56</v>
      </c>
      <c r="D707" s="6" t="s">
        <v>271</v>
      </c>
      <c r="E707" s="7" t="n">
        <v>1</v>
      </c>
      <c r="F707" s="6"/>
    </row>
    <row r="708" customFormat="false" ht="15" hidden="false" customHeight="false" outlineLevel="0" collapsed="false">
      <c r="A708" s="22" t="n">
        <v>46554</v>
      </c>
      <c r="B708" s="23" t="str">
        <f aca="false">IFERROR(INDEX(Sprint!$A$2:$A$11,MATCH(A708,Sprint!$B$2:$B$11,1)),"")</f>
        <v>S6</v>
      </c>
      <c r="C708" s="6" t="s">
        <v>58</v>
      </c>
      <c r="D708" s="6" t="s">
        <v>272</v>
      </c>
      <c r="E708" s="7" t="n">
        <v>1</v>
      </c>
      <c r="F708" s="6"/>
    </row>
    <row r="709" customFormat="false" ht="15" hidden="false" customHeight="false" outlineLevel="0" collapsed="false">
      <c r="A709" s="22" t="n">
        <v>46554</v>
      </c>
      <c r="B709" s="23" t="str">
        <f aca="false">IFERROR(INDEX(Sprint!$A$2:$A$11,MATCH(A709,Sprint!$B$2:$B$11,1)),"")</f>
        <v>S6</v>
      </c>
      <c r="C709" s="6" t="s">
        <v>60</v>
      </c>
      <c r="D709" s="6" t="s">
        <v>271</v>
      </c>
      <c r="E709" s="7" t="n">
        <v>1</v>
      </c>
      <c r="F709" s="6"/>
    </row>
    <row r="710" customFormat="false" ht="15" hidden="false" customHeight="false" outlineLevel="0" collapsed="false">
      <c r="A710" s="22" t="n">
        <v>46554</v>
      </c>
      <c r="B710" s="23" t="str">
        <f aca="false">IFERROR(INDEX(Sprint!$A$2:$A$11,MATCH(A710,Sprint!$B$2:$B$11,1)),"")</f>
        <v>S6</v>
      </c>
      <c r="C710" s="6" t="s">
        <v>67</v>
      </c>
      <c r="D710" s="6" t="s">
        <v>273</v>
      </c>
      <c r="E710" s="7" t="n">
        <v>1</v>
      </c>
      <c r="F710" s="6"/>
    </row>
    <row r="711" customFormat="false" ht="15" hidden="false" customHeight="false" outlineLevel="0" collapsed="false">
      <c r="A711" s="22" t="n">
        <v>46554</v>
      </c>
      <c r="B711" s="23" t="str">
        <f aca="false">IFERROR(INDEX(Sprint!$A$2:$A$11,MATCH(A711,Sprint!$B$2:$B$11,1)),"")</f>
        <v>S6</v>
      </c>
      <c r="C711" s="6" t="s">
        <v>52</v>
      </c>
      <c r="D711" s="6" t="s">
        <v>274</v>
      </c>
      <c r="E711" s="7" t="n">
        <v>1</v>
      </c>
      <c r="F711" s="6"/>
    </row>
    <row r="712" customFormat="false" ht="15" hidden="false" customHeight="false" outlineLevel="0" collapsed="false">
      <c r="A712" s="22" t="n">
        <v>46554</v>
      </c>
      <c r="B712" s="23" t="str">
        <f aca="false">IFERROR(INDEX(Sprint!$A$2:$A$11,MATCH(A712,Sprint!$B$2:$B$11,1)),"")</f>
        <v>S6</v>
      </c>
      <c r="C712" s="6" t="s">
        <v>65</v>
      </c>
      <c r="D712" s="6" t="s">
        <v>269</v>
      </c>
      <c r="E712" s="7" t="n">
        <v>1</v>
      </c>
      <c r="F712" s="6"/>
    </row>
    <row r="713" customFormat="false" ht="15" hidden="false" customHeight="false" outlineLevel="0" collapsed="false">
      <c r="A713" s="22" t="n">
        <v>46554</v>
      </c>
      <c r="B713" s="23" t="str">
        <f aca="false">IFERROR(INDEX(Sprint!$A$2:$A$11,MATCH(A713,Sprint!$B$2:$B$11,1)),"")</f>
        <v>S6</v>
      </c>
      <c r="C713" s="6" t="s">
        <v>49</v>
      </c>
      <c r="D713" s="6" t="s">
        <v>261</v>
      </c>
      <c r="E713" s="7" t="n">
        <v>0.5</v>
      </c>
      <c r="F713" s="6"/>
    </row>
    <row r="714" customFormat="false" ht="15" hidden="false" customHeight="false" outlineLevel="0" collapsed="false">
      <c r="A714" s="22" t="n">
        <v>46554</v>
      </c>
      <c r="B714" s="23" t="str">
        <f aca="false">IFERROR(INDEX(Sprint!$A$2:$A$11,MATCH(A714,Sprint!$B$2:$B$11,1)),"")</f>
        <v>S6</v>
      </c>
      <c r="C714" s="6" t="s">
        <v>49</v>
      </c>
      <c r="D714" s="6" t="s">
        <v>270</v>
      </c>
      <c r="E714" s="7" t="n">
        <v>0.5</v>
      </c>
      <c r="F714" s="6"/>
    </row>
    <row r="715" customFormat="false" ht="15" hidden="false" customHeight="false" outlineLevel="0" collapsed="false">
      <c r="A715" s="22" t="n">
        <v>46554</v>
      </c>
      <c r="B715" s="23" t="str">
        <f aca="false">IFERROR(INDEX(Sprint!$A$2:$A$11,MATCH(A715,Sprint!$B$2:$B$11,1)),"")</f>
        <v>S6</v>
      </c>
      <c r="C715" s="6" t="s">
        <v>44</v>
      </c>
      <c r="D715" s="6" t="s">
        <v>261</v>
      </c>
      <c r="E715" s="7" t="n">
        <v>0.25</v>
      </c>
      <c r="F715" s="6"/>
    </row>
    <row r="716" customFormat="false" ht="15" hidden="false" customHeight="false" outlineLevel="0" collapsed="false">
      <c r="A716" s="22" t="n">
        <v>46554</v>
      </c>
      <c r="B716" s="23" t="str">
        <f aca="false">IFERROR(INDEX(Sprint!$A$2:$A$11,MATCH(A716,Sprint!$B$2:$B$11,1)),"")</f>
        <v>S6</v>
      </c>
      <c r="C716" s="6" t="s">
        <v>47</v>
      </c>
      <c r="D716" s="6" t="s">
        <v>264</v>
      </c>
      <c r="E716" s="7" t="n">
        <v>1</v>
      </c>
      <c r="F716" s="6"/>
    </row>
    <row r="717" customFormat="false" ht="15" hidden="false" customHeight="false" outlineLevel="0" collapsed="false">
      <c r="A717" s="22" t="n">
        <v>46554</v>
      </c>
      <c r="B717" s="23" t="str">
        <f aca="false">IFERROR(INDEX(Sprint!$A$2:$A$11,MATCH(A717,Sprint!$B$2:$B$11,1)),"")</f>
        <v>S6</v>
      </c>
      <c r="C717" s="6" t="s">
        <v>41</v>
      </c>
      <c r="D717" s="6" t="s">
        <v>275</v>
      </c>
      <c r="E717" s="7" t="n">
        <v>1</v>
      </c>
      <c r="F717" s="6"/>
    </row>
    <row r="718" customFormat="false" ht="15" hidden="false" customHeight="false" outlineLevel="0" collapsed="false">
      <c r="A718" s="22" t="n">
        <v>46555</v>
      </c>
      <c r="B718" s="23" t="str">
        <f aca="false">IFERROR(INDEX(Sprint!$A$2:$A$11,MATCH(A718,Sprint!$B$2:$B$11,1)),"")</f>
        <v>S6</v>
      </c>
      <c r="C718" s="6" t="s">
        <v>56</v>
      </c>
      <c r="D718" s="6" t="s">
        <v>271</v>
      </c>
      <c r="E718" s="7" t="n">
        <v>1</v>
      </c>
      <c r="F718" s="6"/>
    </row>
    <row r="719" customFormat="false" ht="15" hidden="false" customHeight="false" outlineLevel="0" collapsed="false">
      <c r="A719" s="22" t="n">
        <v>46555</v>
      </c>
      <c r="B719" s="23" t="str">
        <f aca="false">IFERROR(INDEX(Sprint!$A$2:$A$11,MATCH(A719,Sprint!$B$2:$B$11,1)),"")</f>
        <v>S6</v>
      </c>
      <c r="C719" s="6" t="s">
        <v>58</v>
      </c>
      <c r="D719" s="6" t="s">
        <v>272</v>
      </c>
      <c r="E719" s="7" t="n">
        <v>1</v>
      </c>
      <c r="F719" s="6"/>
    </row>
    <row r="720" customFormat="false" ht="15" hidden="false" customHeight="false" outlineLevel="0" collapsed="false">
      <c r="A720" s="22" t="n">
        <v>46555</v>
      </c>
      <c r="B720" s="23" t="str">
        <f aca="false">IFERROR(INDEX(Sprint!$A$2:$A$11,MATCH(A720,Sprint!$B$2:$B$11,1)),"")</f>
        <v>S6</v>
      </c>
      <c r="C720" s="6" t="s">
        <v>60</v>
      </c>
      <c r="D720" s="6" t="s">
        <v>271</v>
      </c>
      <c r="E720" s="7" t="n">
        <v>1</v>
      </c>
      <c r="F720" s="6"/>
    </row>
    <row r="721" customFormat="false" ht="15" hidden="false" customHeight="false" outlineLevel="0" collapsed="false">
      <c r="A721" s="22" t="n">
        <v>46555</v>
      </c>
      <c r="B721" s="23" t="str">
        <f aca="false">IFERROR(INDEX(Sprint!$A$2:$A$11,MATCH(A721,Sprint!$B$2:$B$11,1)),"")</f>
        <v>S6</v>
      </c>
      <c r="C721" s="6" t="s">
        <v>67</v>
      </c>
      <c r="D721" s="6" t="s">
        <v>273</v>
      </c>
      <c r="E721" s="7" t="n">
        <v>1</v>
      </c>
      <c r="F721" s="6"/>
    </row>
    <row r="722" customFormat="false" ht="15" hidden="false" customHeight="false" outlineLevel="0" collapsed="false">
      <c r="A722" s="22" t="n">
        <v>46555</v>
      </c>
      <c r="B722" s="23" t="str">
        <f aca="false">IFERROR(INDEX(Sprint!$A$2:$A$11,MATCH(A722,Sprint!$B$2:$B$11,1)),"")</f>
        <v>S6</v>
      </c>
      <c r="C722" s="6" t="s">
        <v>52</v>
      </c>
      <c r="D722" s="6" t="s">
        <v>274</v>
      </c>
      <c r="E722" s="7" t="n">
        <v>1</v>
      </c>
      <c r="F722" s="6"/>
    </row>
    <row r="723" customFormat="false" ht="15" hidden="false" customHeight="false" outlineLevel="0" collapsed="false">
      <c r="A723" s="22" t="n">
        <v>46555</v>
      </c>
      <c r="B723" s="23" t="str">
        <f aca="false">IFERROR(INDEX(Sprint!$A$2:$A$11,MATCH(A723,Sprint!$B$2:$B$11,1)),"")</f>
        <v>S6</v>
      </c>
      <c r="C723" s="6" t="s">
        <v>62</v>
      </c>
      <c r="D723" s="6" t="s">
        <v>276</v>
      </c>
      <c r="E723" s="7" t="n">
        <v>1</v>
      </c>
      <c r="F723" s="6"/>
    </row>
    <row r="724" customFormat="false" ht="15" hidden="false" customHeight="false" outlineLevel="0" collapsed="false">
      <c r="A724" s="22" t="n">
        <v>46555</v>
      </c>
      <c r="B724" s="23" t="str">
        <f aca="false">IFERROR(INDEX(Sprint!$A$2:$A$11,MATCH(A724,Sprint!$B$2:$B$11,1)),"")</f>
        <v>S6</v>
      </c>
      <c r="C724" s="6" t="s">
        <v>65</v>
      </c>
      <c r="D724" s="6" t="s">
        <v>269</v>
      </c>
      <c r="E724" s="7" t="n">
        <v>0.5</v>
      </c>
      <c r="F724" s="6"/>
    </row>
    <row r="725" customFormat="false" ht="15" hidden="false" customHeight="false" outlineLevel="0" collapsed="false">
      <c r="A725" s="22" t="n">
        <v>46555</v>
      </c>
      <c r="B725" s="23" t="str">
        <f aca="false">IFERROR(INDEX(Sprint!$A$2:$A$11,MATCH(A725,Sprint!$B$2:$B$11,1)),"")</f>
        <v>S6</v>
      </c>
      <c r="C725" s="6" t="s">
        <v>37</v>
      </c>
      <c r="D725" s="6" t="s">
        <v>151</v>
      </c>
      <c r="E725" s="7" t="n">
        <v>0.25</v>
      </c>
      <c r="F725" s="6"/>
    </row>
    <row r="726" customFormat="false" ht="15" hidden="false" customHeight="false" outlineLevel="0" collapsed="false">
      <c r="A726" s="22" t="n">
        <v>46555</v>
      </c>
      <c r="B726" s="23" t="str">
        <f aca="false">IFERROR(INDEX(Sprint!$A$2:$A$11,MATCH(A726,Sprint!$B$2:$B$11,1)),"")</f>
        <v>S6</v>
      </c>
      <c r="C726" s="6" t="s">
        <v>37</v>
      </c>
      <c r="D726" s="6" t="s">
        <v>154</v>
      </c>
      <c r="E726" s="7" t="n">
        <v>0.25</v>
      </c>
      <c r="F726" s="6"/>
    </row>
    <row r="727" customFormat="false" ht="15" hidden="false" customHeight="false" outlineLevel="0" collapsed="false">
      <c r="A727" s="22" t="n">
        <v>46555</v>
      </c>
      <c r="B727" s="23" t="str">
        <f aca="false">IFERROR(INDEX(Sprint!$A$2:$A$11,MATCH(A727,Sprint!$B$2:$B$11,1)),"")</f>
        <v>S6</v>
      </c>
      <c r="C727" s="6" t="s">
        <v>37</v>
      </c>
      <c r="D727" s="6" t="s">
        <v>156</v>
      </c>
      <c r="E727" s="7" t="n">
        <v>0.25</v>
      </c>
      <c r="F727" s="6"/>
    </row>
    <row r="728" customFormat="false" ht="15" hidden="false" customHeight="false" outlineLevel="0" collapsed="false">
      <c r="A728" s="22" t="n">
        <v>46555</v>
      </c>
      <c r="B728" s="23" t="str">
        <f aca="false">IFERROR(INDEX(Sprint!$A$2:$A$11,MATCH(A728,Sprint!$B$2:$B$11,1)),"")</f>
        <v>S6</v>
      </c>
      <c r="C728" s="6" t="s">
        <v>49</v>
      </c>
      <c r="D728" s="6" t="s">
        <v>276</v>
      </c>
      <c r="E728" s="7" t="n">
        <v>1</v>
      </c>
      <c r="F728" s="6"/>
    </row>
    <row r="729" customFormat="false" ht="15" hidden="false" customHeight="false" outlineLevel="0" collapsed="false">
      <c r="A729" s="22" t="n">
        <v>46555</v>
      </c>
      <c r="B729" s="23" t="str">
        <f aca="false">IFERROR(INDEX(Sprint!$A$2:$A$11,MATCH(A729,Sprint!$B$2:$B$11,1)),"")</f>
        <v>S6</v>
      </c>
      <c r="C729" s="6" t="s">
        <v>44</v>
      </c>
      <c r="D729" s="6" t="s">
        <v>277</v>
      </c>
      <c r="E729" s="7" t="n">
        <v>1</v>
      </c>
      <c r="F729" s="6"/>
    </row>
    <row r="730" customFormat="false" ht="15" hidden="false" customHeight="false" outlineLevel="0" collapsed="false">
      <c r="A730" s="22" t="n">
        <v>46555</v>
      </c>
      <c r="B730" s="23" t="str">
        <f aca="false">IFERROR(INDEX(Sprint!$A$2:$A$11,MATCH(A730,Sprint!$B$2:$B$11,1)),"")</f>
        <v>S6</v>
      </c>
      <c r="C730" s="6" t="s">
        <v>47</v>
      </c>
      <c r="D730" s="6" t="s">
        <v>278</v>
      </c>
      <c r="E730" s="7" t="n">
        <v>1</v>
      </c>
      <c r="F730" s="6"/>
    </row>
    <row r="731" customFormat="false" ht="15" hidden="false" customHeight="false" outlineLevel="0" collapsed="false">
      <c r="A731" s="22" t="n">
        <v>46555</v>
      </c>
      <c r="B731" s="23" t="str">
        <f aca="false">IFERROR(INDEX(Sprint!$A$2:$A$11,MATCH(A731,Sprint!$B$2:$B$11,1)),"")</f>
        <v>S6</v>
      </c>
      <c r="C731" s="6" t="s">
        <v>41</v>
      </c>
      <c r="D731" s="6" t="s">
        <v>275</v>
      </c>
      <c r="E731" s="7" t="n">
        <v>1</v>
      </c>
      <c r="F731" s="6"/>
    </row>
    <row r="732" customFormat="false" ht="15" hidden="false" customHeight="false" outlineLevel="0" collapsed="false">
      <c r="A732" s="22" t="n">
        <v>46556</v>
      </c>
      <c r="B732" s="23" t="str">
        <f aca="false">IFERROR(INDEX(Sprint!$A$2:$A$11,MATCH(A732,Sprint!$B$2:$B$11,1)),"")</f>
        <v>S7</v>
      </c>
      <c r="C732" s="6" t="s">
        <v>56</v>
      </c>
      <c r="D732" s="6" t="s">
        <v>279</v>
      </c>
      <c r="E732" s="7" t="n">
        <v>1</v>
      </c>
      <c r="F732" s="6"/>
    </row>
    <row r="733" customFormat="false" ht="15" hidden="false" customHeight="false" outlineLevel="0" collapsed="false">
      <c r="A733" s="22" t="n">
        <v>46556</v>
      </c>
      <c r="B733" s="23" t="str">
        <f aca="false">IFERROR(INDEX(Sprint!$A$2:$A$11,MATCH(A733,Sprint!$B$2:$B$11,1)),"")</f>
        <v>S7</v>
      </c>
      <c r="C733" s="6" t="s">
        <v>58</v>
      </c>
      <c r="D733" s="6" t="s">
        <v>272</v>
      </c>
      <c r="E733" s="7" t="n">
        <v>1</v>
      </c>
      <c r="F733" s="6"/>
    </row>
    <row r="734" customFormat="false" ht="15" hidden="false" customHeight="false" outlineLevel="0" collapsed="false">
      <c r="A734" s="22" t="n">
        <v>46556</v>
      </c>
      <c r="B734" s="23" t="str">
        <f aca="false">IFERROR(INDEX(Sprint!$A$2:$A$11,MATCH(A734,Sprint!$B$2:$B$11,1)),"")</f>
        <v>S7</v>
      </c>
      <c r="C734" s="6" t="s">
        <v>60</v>
      </c>
      <c r="D734" s="6" t="s">
        <v>280</v>
      </c>
      <c r="E734" s="7" t="n">
        <v>1</v>
      </c>
      <c r="F734" s="6"/>
    </row>
    <row r="735" customFormat="false" ht="15" hidden="false" customHeight="false" outlineLevel="0" collapsed="false">
      <c r="A735" s="22" t="n">
        <v>46556</v>
      </c>
      <c r="B735" s="23" t="str">
        <f aca="false">IFERROR(INDEX(Sprint!$A$2:$A$11,MATCH(A735,Sprint!$B$2:$B$11,1)),"")</f>
        <v>S7</v>
      </c>
      <c r="C735" s="6" t="s">
        <v>67</v>
      </c>
      <c r="D735" s="6" t="s">
        <v>273</v>
      </c>
      <c r="E735" s="7" t="n">
        <v>1</v>
      </c>
      <c r="F735" s="6"/>
    </row>
    <row r="736" customFormat="false" ht="15" hidden="false" customHeight="false" outlineLevel="0" collapsed="false">
      <c r="A736" s="22" t="n">
        <v>46556</v>
      </c>
      <c r="B736" s="23" t="str">
        <f aca="false">IFERROR(INDEX(Sprint!$A$2:$A$11,MATCH(A736,Sprint!$B$2:$B$11,1)),"")</f>
        <v>S7</v>
      </c>
      <c r="C736" s="6" t="s">
        <v>62</v>
      </c>
      <c r="D736" s="6" t="s">
        <v>276</v>
      </c>
      <c r="E736" s="7" t="n">
        <v>1</v>
      </c>
      <c r="F736" s="6"/>
    </row>
    <row r="737" customFormat="false" ht="15" hidden="false" customHeight="false" outlineLevel="0" collapsed="false">
      <c r="A737" s="22" t="n">
        <v>46556</v>
      </c>
      <c r="B737" s="23" t="str">
        <f aca="false">IFERROR(INDEX(Sprint!$A$2:$A$11,MATCH(A737,Sprint!$B$2:$B$11,1)),"")</f>
        <v>S7</v>
      </c>
      <c r="C737" s="6" t="s">
        <v>37</v>
      </c>
      <c r="D737" s="6" t="s">
        <v>150</v>
      </c>
      <c r="E737" s="7" t="n">
        <v>0.25</v>
      </c>
      <c r="F737" s="6"/>
    </row>
    <row r="738" customFormat="false" ht="15" hidden="false" customHeight="false" outlineLevel="0" collapsed="false">
      <c r="A738" s="22" t="n">
        <v>46556</v>
      </c>
      <c r="B738" s="23" t="str">
        <f aca="false">IFERROR(INDEX(Sprint!$A$2:$A$11,MATCH(A738,Sprint!$B$2:$B$11,1)),"")</f>
        <v>S7</v>
      </c>
      <c r="C738" s="6" t="s">
        <v>37</v>
      </c>
      <c r="D738" s="6" t="s">
        <v>155</v>
      </c>
      <c r="E738" s="7" t="n">
        <v>0.25</v>
      </c>
      <c r="F738" s="6"/>
    </row>
    <row r="739" customFormat="false" ht="15" hidden="false" customHeight="false" outlineLevel="0" collapsed="false">
      <c r="A739" s="22" t="n">
        <v>46556</v>
      </c>
      <c r="B739" s="23" t="str">
        <f aca="false">IFERROR(INDEX(Sprint!$A$2:$A$11,MATCH(A739,Sprint!$B$2:$B$11,1)),"")</f>
        <v>S7</v>
      </c>
      <c r="C739" s="6" t="s">
        <v>37</v>
      </c>
      <c r="D739" s="6" t="s">
        <v>245</v>
      </c>
      <c r="E739" s="7" t="n">
        <v>0.25</v>
      </c>
      <c r="F739" s="6"/>
    </row>
    <row r="740" customFormat="false" ht="15" hidden="false" customHeight="false" outlineLevel="0" collapsed="false">
      <c r="A740" s="22" t="n">
        <v>46556</v>
      </c>
      <c r="B740" s="23" t="str">
        <f aca="false">IFERROR(INDEX(Sprint!$A$2:$A$11,MATCH(A740,Sprint!$B$2:$B$11,1)),"")</f>
        <v>S7</v>
      </c>
      <c r="C740" s="6" t="s">
        <v>49</v>
      </c>
      <c r="D740" s="6" t="s">
        <v>276</v>
      </c>
      <c r="E740" s="7" t="n">
        <v>1</v>
      </c>
      <c r="F740" s="6"/>
    </row>
    <row r="741" customFormat="false" ht="15" hidden="false" customHeight="false" outlineLevel="0" collapsed="false">
      <c r="A741" s="22" t="n">
        <v>46556</v>
      </c>
      <c r="B741" s="23" t="str">
        <f aca="false">IFERROR(INDEX(Sprint!$A$2:$A$11,MATCH(A741,Sprint!$B$2:$B$11,1)),"")</f>
        <v>S7</v>
      </c>
      <c r="C741" s="6" t="s">
        <v>47</v>
      </c>
      <c r="D741" s="6" t="s">
        <v>278</v>
      </c>
      <c r="E741" s="7" t="n">
        <v>1</v>
      </c>
      <c r="F741" s="6"/>
    </row>
    <row r="742" customFormat="false" ht="15" hidden="false" customHeight="false" outlineLevel="0" collapsed="false">
      <c r="A742" s="22" t="n">
        <v>46559</v>
      </c>
      <c r="B742" s="23" t="str">
        <f aca="false">IFERROR(INDEX(Sprint!$A$2:$A$11,MATCH(A742,Sprint!$B$2:$B$11,1)),"")</f>
        <v>S7</v>
      </c>
      <c r="C742" s="6" t="s">
        <v>56</v>
      </c>
      <c r="D742" s="6" t="s">
        <v>279</v>
      </c>
      <c r="E742" s="7" t="n">
        <v>1</v>
      </c>
      <c r="F742" s="6"/>
    </row>
    <row r="743" customFormat="false" ht="15" hidden="false" customHeight="false" outlineLevel="0" collapsed="false">
      <c r="A743" s="22" t="n">
        <v>46559</v>
      </c>
      <c r="B743" s="23" t="str">
        <f aca="false">IFERROR(INDEX(Sprint!$A$2:$A$11,MATCH(A743,Sprint!$B$2:$B$11,1)),"")</f>
        <v>S7</v>
      </c>
      <c r="C743" s="6" t="s">
        <v>58</v>
      </c>
      <c r="D743" s="6" t="s">
        <v>272</v>
      </c>
      <c r="E743" s="7" t="n">
        <v>1</v>
      </c>
      <c r="F743" s="6"/>
    </row>
    <row r="744" customFormat="false" ht="15" hidden="false" customHeight="false" outlineLevel="0" collapsed="false">
      <c r="A744" s="22" t="n">
        <v>46559</v>
      </c>
      <c r="B744" s="23" t="str">
        <f aca="false">IFERROR(INDEX(Sprint!$A$2:$A$11,MATCH(A744,Sprint!$B$2:$B$11,1)),"")</f>
        <v>S7</v>
      </c>
      <c r="C744" s="6" t="s">
        <v>60</v>
      </c>
      <c r="D744" s="6" t="s">
        <v>280</v>
      </c>
      <c r="E744" s="7" t="n">
        <v>1</v>
      </c>
      <c r="F744" s="6"/>
    </row>
    <row r="745" customFormat="false" ht="15" hidden="false" customHeight="false" outlineLevel="0" collapsed="false">
      <c r="A745" s="22" t="n">
        <v>46559</v>
      </c>
      <c r="B745" s="23" t="str">
        <f aca="false">IFERROR(INDEX(Sprint!$A$2:$A$11,MATCH(A745,Sprint!$B$2:$B$11,1)),"")</f>
        <v>S7</v>
      </c>
      <c r="C745" s="6" t="s">
        <v>67</v>
      </c>
      <c r="D745" s="6" t="s">
        <v>281</v>
      </c>
      <c r="E745" s="7" t="n">
        <v>1</v>
      </c>
      <c r="F745" s="6"/>
    </row>
    <row r="746" customFormat="false" ht="15" hidden="false" customHeight="false" outlineLevel="0" collapsed="false">
      <c r="A746" s="22" t="n">
        <v>46559</v>
      </c>
      <c r="B746" s="23" t="str">
        <f aca="false">IFERROR(INDEX(Sprint!$A$2:$A$11,MATCH(A746,Sprint!$B$2:$B$11,1)),"")</f>
        <v>S7</v>
      </c>
      <c r="C746" s="6" t="s">
        <v>62</v>
      </c>
      <c r="D746" s="6" t="s">
        <v>276</v>
      </c>
      <c r="E746" s="7" t="n">
        <v>1</v>
      </c>
      <c r="F746" s="6"/>
    </row>
    <row r="747" customFormat="false" ht="15" hidden="false" customHeight="false" outlineLevel="0" collapsed="false">
      <c r="A747" s="22" t="n">
        <v>46559</v>
      </c>
      <c r="B747" s="23" t="str">
        <f aca="false">IFERROR(INDEX(Sprint!$A$2:$A$11,MATCH(A747,Sprint!$B$2:$B$11,1)),"")</f>
        <v>S7</v>
      </c>
      <c r="C747" s="6" t="s">
        <v>49</v>
      </c>
      <c r="D747" s="6" t="s">
        <v>276</v>
      </c>
      <c r="E747" s="7" t="n">
        <v>1</v>
      </c>
      <c r="F747" s="6"/>
    </row>
    <row r="748" customFormat="false" ht="15" hidden="false" customHeight="false" outlineLevel="0" collapsed="false">
      <c r="A748" s="22" t="n">
        <v>46559</v>
      </c>
      <c r="B748" s="23" t="str">
        <f aca="false">IFERROR(INDEX(Sprint!$A$2:$A$11,MATCH(A748,Sprint!$B$2:$B$11,1)),"")</f>
        <v>S7</v>
      </c>
      <c r="C748" s="6" t="s">
        <v>47</v>
      </c>
      <c r="D748" s="6" t="s">
        <v>278</v>
      </c>
      <c r="E748" s="7" t="n">
        <v>1</v>
      </c>
      <c r="F748" s="6"/>
    </row>
    <row r="749" customFormat="false" ht="15" hidden="false" customHeight="false" outlineLevel="0" collapsed="false">
      <c r="A749" s="22" t="n">
        <v>46560</v>
      </c>
      <c r="B749" s="23" t="str">
        <f aca="false">IFERROR(INDEX(Sprint!$A$2:$A$11,MATCH(A749,Sprint!$B$2:$B$11,1)),"")</f>
        <v>S7</v>
      </c>
      <c r="C749" s="6" t="s">
        <v>56</v>
      </c>
      <c r="D749" s="6" t="s">
        <v>279</v>
      </c>
      <c r="E749" s="7" t="n">
        <v>1</v>
      </c>
      <c r="F749" s="6"/>
    </row>
    <row r="750" customFormat="false" ht="15" hidden="false" customHeight="false" outlineLevel="0" collapsed="false">
      <c r="A750" s="22" t="n">
        <v>46560</v>
      </c>
      <c r="B750" s="23" t="str">
        <f aca="false">IFERROR(INDEX(Sprint!$A$2:$A$11,MATCH(A750,Sprint!$B$2:$B$11,1)),"")</f>
        <v>S7</v>
      </c>
      <c r="C750" s="6" t="s">
        <v>58</v>
      </c>
      <c r="D750" s="6" t="s">
        <v>282</v>
      </c>
      <c r="E750" s="7" t="n">
        <v>1</v>
      </c>
      <c r="F750" s="6"/>
    </row>
    <row r="751" customFormat="false" ht="15" hidden="false" customHeight="false" outlineLevel="0" collapsed="false">
      <c r="A751" s="22" t="n">
        <v>46560</v>
      </c>
      <c r="B751" s="23" t="str">
        <f aca="false">IFERROR(INDEX(Sprint!$A$2:$A$11,MATCH(A751,Sprint!$B$2:$B$11,1)),"")</f>
        <v>S7</v>
      </c>
      <c r="C751" s="6" t="s">
        <v>60</v>
      </c>
      <c r="D751" s="6" t="s">
        <v>280</v>
      </c>
      <c r="E751" s="7" t="n">
        <v>1</v>
      </c>
      <c r="F751" s="6"/>
    </row>
    <row r="752" customFormat="false" ht="15" hidden="false" customHeight="false" outlineLevel="0" collapsed="false">
      <c r="A752" s="22" t="n">
        <v>46560</v>
      </c>
      <c r="B752" s="23" t="str">
        <f aca="false">IFERROR(INDEX(Sprint!$A$2:$A$11,MATCH(A752,Sprint!$B$2:$B$11,1)),"")</f>
        <v>S7</v>
      </c>
      <c r="C752" s="6" t="s">
        <v>67</v>
      </c>
      <c r="D752" s="6" t="s">
        <v>281</v>
      </c>
      <c r="E752" s="7" t="n">
        <v>1</v>
      </c>
      <c r="F752" s="6"/>
    </row>
    <row r="753" customFormat="false" ht="15" hidden="false" customHeight="false" outlineLevel="0" collapsed="false">
      <c r="A753" s="22" t="n">
        <v>46560</v>
      </c>
      <c r="B753" s="23" t="str">
        <f aca="false">IFERROR(INDEX(Sprint!$A$2:$A$11,MATCH(A753,Sprint!$B$2:$B$11,1)),"")</f>
        <v>S7</v>
      </c>
      <c r="C753" s="6" t="s">
        <v>62</v>
      </c>
      <c r="D753" s="6" t="s">
        <v>276</v>
      </c>
      <c r="E753" s="7" t="n">
        <v>1</v>
      </c>
      <c r="F753" s="6"/>
    </row>
    <row r="754" customFormat="false" ht="15" hidden="false" customHeight="false" outlineLevel="0" collapsed="false">
      <c r="A754" s="22" t="n">
        <v>46560</v>
      </c>
      <c r="B754" s="23" t="str">
        <f aca="false">IFERROR(INDEX(Sprint!$A$2:$A$11,MATCH(A754,Sprint!$B$2:$B$11,1)),"")</f>
        <v>S7</v>
      </c>
      <c r="C754" s="6" t="s">
        <v>65</v>
      </c>
      <c r="D754" s="6" t="s">
        <v>283</v>
      </c>
      <c r="E754" s="7" t="n">
        <v>1</v>
      </c>
      <c r="F754" s="6"/>
    </row>
    <row r="755" customFormat="false" ht="15" hidden="false" customHeight="false" outlineLevel="0" collapsed="false">
      <c r="A755" s="22" t="n">
        <v>46560</v>
      </c>
      <c r="B755" s="23" t="str">
        <f aca="false">IFERROR(INDEX(Sprint!$A$2:$A$11,MATCH(A755,Sprint!$B$2:$B$11,1)),"")</f>
        <v>S7</v>
      </c>
      <c r="C755" s="6" t="s">
        <v>37</v>
      </c>
      <c r="D755" s="6" t="s">
        <v>158</v>
      </c>
      <c r="E755" s="7" t="n">
        <v>0.25</v>
      </c>
      <c r="F755" s="6"/>
    </row>
    <row r="756" customFormat="false" ht="15" hidden="false" customHeight="false" outlineLevel="0" collapsed="false">
      <c r="A756" s="22" t="n">
        <v>46560</v>
      </c>
      <c r="B756" s="23" t="str">
        <f aca="false">IFERROR(INDEX(Sprint!$A$2:$A$11,MATCH(A756,Sprint!$B$2:$B$11,1)),"")</f>
        <v>S7</v>
      </c>
      <c r="C756" s="6" t="s">
        <v>37</v>
      </c>
      <c r="D756" s="6" t="s">
        <v>165</v>
      </c>
      <c r="E756" s="7" t="n">
        <v>0.25</v>
      </c>
      <c r="F756" s="6"/>
    </row>
    <row r="757" customFormat="false" ht="15" hidden="false" customHeight="false" outlineLevel="0" collapsed="false">
      <c r="A757" s="22" t="n">
        <v>46560</v>
      </c>
      <c r="B757" s="23" t="str">
        <f aca="false">IFERROR(INDEX(Sprint!$A$2:$A$11,MATCH(A757,Sprint!$B$2:$B$11,1)),"")</f>
        <v>S7</v>
      </c>
      <c r="C757" s="6" t="s">
        <v>49</v>
      </c>
      <c r="D757" s="6" t="s">
        <v>276</v>
      </c>
      <c r="E757" s="7" t="n">
        <v>1</v>
      </c>
      <c r="F757" s="6"/>
    </row>
    <row r="758" customFormat="false" ht="15" hidden="false" customHeight="false" outlineLevel="0" collapsed="false">
      <c r="A758" s="22" t="n">
        <v>46560</v>
      </c>
      <c r="B758" s="23" t="str">
        <f aca="false">IFERROR(INDEX(Sprint!$A$2:$A$11,MATCH(A758,Sprint!$B$2:$B$11,1)),"")</f>
        <v>S7</v>
      </c>
      <c r="C758" s="6" t="s">
        <v>47</v>
      </c>
      <c r="D758" s="6" t="s">
        <v>278</v>
      </c>
      <c r="E758" s="7" t="n">
        <v>1</v>
      </c>
      <c r="F758" s="6"/>
    </row>
    <row r="759" customFormat="false" ht="15" hidden="false" customHeight="false" outlineLevel="0" collapsed="false">
      <c r="A759" s="22" t="n">
        <v>46561</v>
      </c>
      <c r="B759" s="23" t="str">
        <f aca="false">IFERROR(INDEX(Sprint!$A$2:$A$11,MATCH(A759,Sprint!$B$2:$B$11,1)),"")</f>
        <v>S7</v>
      </c>
      <c r="C759" s="6" t="s">
        <v>56</v>
      </c>
      <c r="D759" s="6" t="s">
        <v>279</v>
      </c>
      <c r="E759" s="7" t="n">
        <v>1</v>
      </c>
      <c r="F759" s="6"/>
    </row>
    <row r="760" customFormat="false" ht="15" hidden="false" customHeight="false" outlineLevel="0" collapsed="false">
      <c r="A760" s="22" t="n">
        <v>46561</v>
      </c>
      <c r="B760" s="23" t="str">
        <f aca="false">IFERROR(INDEX(Sprint!$A$2:$A$11,MATCH(A760,Sprint!$B$2:$B$11,1)),"")</f>
        <v>S7</v>
      </c>
      <c r="C760" s="6" t="s">
        <v>58</v>
      </c>
      <c r="D760" s="6" t="s">
        <v>282</v>
      </c>
      <c r="E760" s="7" t="n">
        <v>1</v>
      </c>
      <c r="F760" s="6"/>
    </row>
    <row r="761" customFormat="false" ht="15" hidden="false" customHeight="false" outlineLevel="0" collapsed="false">
      <c r="A761" s="22" t="n">
        <v>46561</v>
      </c>
      <c r="B761" s="23" t="str">
        <f aca="false">IFERROR(INDEX(Sprint!$A$2:$A$11,MATCH(A761,Sprint!$B$2:$B$11,1)),"")</f>
        <v>S7</v>
      </c>
      <c r="C761" s="6" t="s">
        <v>60</v>
      </c>
      <c r="D761" s="6" t="s">
        <v>280</v>
      </c>
      <c r="E761" s="7" t="n">
        <v>1</v>
      </c>
      <c r="F761" s="6"/>
    </row>
    <row r="762" customFormat="false" ht="15" hidden="false" customHeight="false" outlineLevel="0" collapsed="false">
      <c r="A762" s="22" t="n">
        <v>46561</v>
      </c>
      <c r="B762" s="23" t="str">
        <f aca="false">IFERROR(INDEX(Sprint!$A$2:$A$11,MATCH(A762,Sprint!$B$2:$B$11,1)),"")</f>
        <v>S7</v>
      </c>
      <c r="C762" s="6" t="s">
        <v>67</v>
      </c>
      <c r="D762" s="6" t="s">
        <v>281</v>
      </c>
      <c r="E762" s="7" t="n">
        <v>1</v>
      </c>
      <c r="F762" s="6"/>
    </row>
    <row r="763" customFormat="false" ht="15" hidden="false" customHeight="false" outlineLevel="0" collapsed="false">
      <c r="A763" s="22" t="n">
        <v>46561</v>
      </c>
      <c r="B763" s="23" t="str">
        <f aca="false">IFERROR(INDEX(Sprint!$A$2:$A$11,MATCH(A763,Sprint!$B$2:$B$11,1)),"")</f>
        <v>S7</v>
      </c>
      <c r="C763" s="6" t="s">
        <v>62</v>
      </c>
      <c r="D763" s="6" t="s">
        <v>276</v>
      </c>
      <c r="E763" s="7" t="n">
        <v>1</v>
      </c>
      <c r="F763" s="6"/>
    </row>
    <row r="764" customFormat="false" ht="15" hidden="false" customHeight="false" outlineLevel="0" collapsed="false">
      <c r="A764" s="22" t="n">
        <v>46561</v>
      </c>
      <c r="B764" s="23" t="str">
        <f aca="false">IFERROR(INDEX(Sprint!$A$2:$A$11,MATCH(A764,Sprint!$B$2:$B$11,1)),"")</f>
        <v>S7</v>
      </c>
      <c r="C764" s="6" t="s">
        <v>65</v>
      </c>
      <c r="D764" s="6" t="s">
        <v>283</v>
      </c>
      <c r="E764" s="7" t="n">
        <v>1</v>
      </c>
      <c r="F764" s="6"/>
    </row>
    <row r="765" customFormat="false" ht="15" hidden="false" customHeight="false" outlineLevel="0" collapsed="false">
      <c r="A765" s="22" t="n">
        <v>46561</v>
      </c>
      <c r="B765" s="23" t="str">
        <f aca="false">IFERROR(INDEX(Sprint!$A$2:$A$11,MATCH(A765,Sprint!$B$2:$B$11,1)),"")</f>
        <v>S7</v>
      </c>
      <c r="C765" s="6" t="s">
        <v>37</v>
      </c>
      <c r="D765" s="6" t="s">
        <v>157</v>
      </c>
      <c r="E765" s="7" t="n">
        <v>0.25</v>
      </c>
      <c r="F765" s="6"/>
    </row>
    <row r="766" customFormat="false" ht="15" hidden="false" customHeight="false" outlineLevel="0" collapsed="false">
      <c r="A766" s="22" t="n">
        <v>46561</v>
      </c>
      <c r="B766" s="23" t="str">
        <f aca="false">IFERROR(INDEX(Sprint!$A$2:$A$11,MATCH(A766,Sprint!$B$2:$B$11,1)),"")</f>
        <v>S7</v>
      </c>
      <c r="C766" s="6" t="s">
        <v>37</v>
      </c>
      <c r="D766" s="6" t="s">
        <v>168</v>
      </c>
      <c r="E766" s="7" t="n">
        <v>0.25</v>
      </c>
      <c r="F766" s="6"/>
    </row>
    <row r="767" customFormat="false" ht="15" hidden="false" customHeight="false" outlineLevel="0" collapsed="false">
      <c r="A767" s="22" t="n">
        <v>46561</v>
      </c>
      <c r="B767" s="23" t="str">
        <f aca="false">IFERROR(INDEX(Sprint!$A$2:$A$11,MATCH(A767,Sprint!$B$2:$B$11,1)),"")</f>
        <v>S7</v>
      </c>
      <c r="C767" s="6" t="s">
        <v>37</v>
      </c>
      <c r="D767" s="6" t="s">
        <v>185</v>
      </c>
      <c r="E767" s="7" t="n">
        <v>0.25</v>
      </c>
      <c r="F767" s="6"/>
    </row>
    <row r="768" customFormat="false" ht="15" hidden="false" customHeight="false" outlineLevel="0" collapsed="false">
      <c r="A768" s="22" t="n">
        <v>46561</v>
      </c>
      <c r="B768" s="23" t="str">
        <f aca="false">IFERROR(INDEX(Sprint!$A$2:$A$11,MATCH(A768,Sprint!$B$2:$B$11,1)),"")</f>
        <v>S7</v>
      </c>
      <c r="C768" s="6" t="s">
        <v>49</v>
      </c>
      <c r="D768" s="6" t="s">
        <v>276</v>
      </c>
      <c r="E768" s="7" t="n">
        <v>1</v>
      </c>
      <c r="F768" s="6"/>
    </row>
    <row r="769" customFormat="false" ht="15" hidden="false" customHeight="false" outlineLevel="0" collapsed="false">
      <c r="A769" s="22" t="n">
        <v>46562</v>
      </c>
      <c r="B769" s="23" t="str">
        <f aca="false">IFERROR(INDEX(Sprint!$A$2:$A$11,MATCH(A769,Sprint!$B$2:$B$11,1)),"")</f>
        <v>S7</v>
      </c>
      <c r="C769" s="6" t="s">
        <v>56</v>
      </c>
      <c r="D769" s="6" t="s">
        <v>284</v>
      </c>
      <c r="E769" s="7" t="n">
        <v>1</v>
      </c>
      <c r="F769" s="6"/>
    </row>
    <row r="770" customFormat="false" ht="15" hidden="false" customHeight="false" outlineLevel="0" collapsed="false">
      <c r="A770" s="22" t="n">
        <v>46562</v>
      </c>
      <c r="B770" s="23" t="str">
        <f aca="false">IFERROR(INDEX(Sprint!$A$2:$A$11,MATCH(A770,Sprint!$B$2:$B$11,1)),"")</f>
        <v>S7</v>
      </c>
      <c r="C770" s="6" t="s">
        <v>58</v>
      </c>
      <c r="D770" s="6" t="s">
        <v>282</v>
      </c>
      <c r="E770" s="7" t="n">
        <v>1</v>
      </c>
      <c r="F770" s="6"/>
    </row>
    <row r="771" customFormat="false" ht="15" hidden="false" customHeight="false" outlineLevel="0" collapsed="false">
      <c r="A771" s="22" t="n">
        <v>46562</v>
      </c>
      <c r="B771" s="23" t="str">
        <f aca="false">IFERROR(INDEX(Sprint!$A$2:$A$11,MATCH(A771,Sprint!$B$2:$B$11,1)),"")</f>
        <v>S7</v>
      </c>
      <c r="C771" s="6" t="s">
        <v>60</v>
      </c>
      <c r="D771" s="6" t="s">
        <v>285</v>
      </c>
      <c r="E771" s="7" t="n">
        <v>1</v>
      </c>
      <c r="F771" s="6"/>
    </row>
    <row r="772" customFormat="false" ht="15" hidden="false" customHeight="false" outlineLevel="0" collapsed="false">
      <c r="A772" s="22" t="n">
        <v>46562</v>
      </c>
      <c r="B772" s="23" t="str">
        <f aca="false">IFERROR(INDEX(Sprint!$A$2:$A$11,MATCH(A772,Sprint!$B$2:$B$11,1)),"")</f>
        <v>S7</v>
      </c>
      <c r="C772" s="6" t="s">
        <v>65</v>
      </c>
      <c r="D772" s="6" t="s">
        <v>283</v>
      </c>
      <c r="E772" s="7" t="n">
        <v>0.5</v>
      </c>
      <c r="F772" s="6"/>
    </row>
    <row r="773" customFormat="false" ht="15" hidden="false" customHeight="false" outlineLevel="0" collapsed="false">
      <c r="A773" s="22" t="n">
        <v>46562</v>
      </c>
      <c r="B773" s="23" t="str">
        <f aca="false">IFERROR(INDEX(Sprint!$A$2:$A$11,MATCH(A773,Sprint!$B$2:$B$11,1)),"")</f>
        <v>S7</v>
      </c>
      <c r="C773" s="6" t="s">
        <v>49</v>
      </c>
      <c r="D773" s="6" t="s">
        <v>261</v>
      </c>
      <c r="E773" s="7" t="n">
        <v>0.75</v>
      </c>
      <c r="F773" s="6"/>
    </row>
    <row r="774" customFormat="false" ht="15" hidden="false" customHeight="false" outlineLevel="0" collapsed="false">
      <c r="A774" s="22" t="n">
        <v>46562</v>
      </c>
      <c r="B774" s="23" t="str">
        <f aca="false">IFERROR(INDEX(Sprint!$A$2:$A$11,MATCH(A774,Sprint!$B$2:$B$11,1)),"")</f>
        <v>S7</v>
      </c>
      <c r="C774" s="6" t="s">
        <v>49</v>
      </c>
      <c r="D774" s="6" t="s">
        <v>270</v>
      </c>
      <c r="E774" s="7" t="n">
        <v>0.25</v>
      </c>
      <c r="F774" s="6"/>
    </row>
    <row r="775" customFormat="false" ht="15" hidden="false" customHeight="false" outlineLevel="0" collapsed="false">
      <c r="A775" s="22" t="n">
        <v>46563</v>
      </c>
      <c r="B775" s="23" t="str">
        <f aca="false">IFERROR(INDEX(Sprint!$A$2:$A$11,MATCH(A775,Sprint!$B$2:$B$11,1)),"")</f>
        <v>S7</v>
      </c>
      <c r="C775" s="6" t="s">
        <v>56</v>
      </c>
      <c r="D775" s="6" t="s">
        <v>284</v>
      </c>
      <c r="E775" s="7" t="n">
        <v>1</v>
      </c>
      <c r="F775" s="6"/>
    </row>
    <row r="776" customFormat="false" ht="15" hidden="false" customHeight="false" outlineLevel="0" collapsed="false">
      <c r="A776" s="22" t="n">
        <v>46563</v>
      </c>
      <c r="B776" s="23" t="str">
        <f aca="false">IFERROR(INDEX(Sprint!$A$2:$A$11,MATCH(A776,Sprint!$B$2:$B$11,1)),"")</f>
        <v>S7</v>
      </c>
      <c r="C776" s="6" t="s">
        <v>58</v>
      </c>
      <c r="D776" s="6" t="s">
        <v>282</v>
      </c>
      <c r="E776" s="7" t="n">
        <v>1</v>
      </c>
      <c r="F776" s="6"/>
    </row>
    <row r="777" customFormat="false" ht="15" hidden="false" customHeight="false" outlineLevel="0" collapsed="false">
      <c r="A777" s="22" t="n">
        <v>46563</v>
      </c>
      <c r="B777" s="23" t="str">
        <f aca="false">IFERROR(INDEX(Sprint!$A$2:$A$11,MATCH(A777,Sprint!$B$2:$B$11,1)),"")</f>
        <v>S7</v>
      </c>
      <c r="C777" s="6" t="s">
        <v>60</v>
      </c>
      <c r="D777" s="6" t="s">
        <v>285</v>
      </c>
      <c r="E777" s="7" t="n">
        <v>1</v>
      </c>
      <c r="F777" s="6"/>
    </row>
    <row r="778" customFormat="false" ht="15" hidden="false" customHeight="false" outlineLevel="0" collapsed="false">
      <c r="A778" s="22" t="n">
        <v>46563</v>
      </c>
      <c r="B778" s="23" t="str">
        <f aca="false">IFERROR(INDEX(Sprint!$A$2:$A$11,MATCH(A778,Sprint!$B$2:$B$11,1)),"")</f>
        <v>S7</v>
      </c>
      <c r="C778" s="6" t="s">
        <v>37</v>
      </c>
      <c r="D778" s="6" t="s">
        <v>245</v>
      </c>
      <c r="E778" s="7" t="n">
        <v>0.25</v>
      </c>
      <c r="F778" s="6"/>
    </row>
    <row r="779" customFormat="false" ht="15" hidden="false" customHeight="false" outlineLevel="0" collapsed="false">
      <c r="A779" s="22" t="n">
        <v>46563</v>
      </c>
      <c r="B779" s="23" t="str">
        <f aca="false">IFERROR(INDEX(Sprint!$A$2:$A$11,MATCH(A779,Sprint!$B$2:$B$11,1)),"")</f>
        <v>S7</v>
      </c>
      <c r="C779" s="6" t="s">
        <v>49</v>
      </c>
      <c r="D779" s="6" t="s">
        <v>286</v>
      </c>
      <c r="E779" s="7" t="n">
        <v>1</v>
      </c>
      <c r="F779" s="6"/>
    </row>
    <row r="780" customFormat="false" ht="15" hidden="false" customHeight="false" outlineLevel="0" collapsed="false">
      <c r="A780" s="22" t="n">
        <v>46566</v>
      </c>
      <c r="B780" s="23" t="str">
        <f aca="false">IFERROR(INDEX(Sprint!$A$2:$A$11,MATCH(A780,Sprint!$B$2:$B$11,1)),"")</f>
        <v>S7</v>
      </c>
      <c r="C780" s="6" t="s">
        <v>56</v>
      </c>
      <c r="D780" s="6" t="s">
        <v>284</v>
      </c>
      <c r="E780" s="7" t="n">
        <v>1</v>
      </c>
      <c r="F780" s="6"/>
    </row>
    <row r="781" customFormat="false" ht="15" hidden="false" customHeight="false" outlineLevel="0" collapsed="false">
      <c r="A781" s="22" t="n">
        <v>46566</v>
      </c>
      <c r="B781" s="23" t="str">
        <f aca="false">IFERROR(INDEX(Sprint!$A$2:$A$11,MATCH(A781,Sprint!$B$2:$B$11,1)),"")</f>
        <v>S7</v>
      </c>
      <c r="C781" s="6" t="s">
        <v>58</v>
      </c>
      <c r="D781" s="6" t="s">
        <v>282</v>
      </c>
      <c r="E781" s="7" t="n">
        <v>1</v>
      </c>
      <c r="F781" s="6"/>
    </row>
    <row r="782" customFormat="false" ht="15" hidden="false" customHeight="false" outlineLevel="0" collapsed="false">
      <c r="A782" s="22" t="n">
        <v>46566</v>
      </c>
      <c r="B782" s="23" t="str">
        <f aca="false">IFERROR(INDEX(Sprint!$A$2:$A$11,MATCH(A782,Sprint!$B$2:$B$11,1)),"")</f>
        <v>S7</v>
      </c>
      <c r="C782" s="6" t="s">
        <v>60</v>
      </c>
      <c r="D782" s="6" t="s">
        <v>285</v>
      </c>
      <c r="E782" s="7" t="n">
        <v>1</v>
      </c>
      <c r="F782" s="6"/>
    </row>
    <row r="783" customFormat="false" ht="15" hidden="false" customHeight="false" outlineLevel="0" collapsed="false">
      <c r="A783" s="22" t="n">
        <v>46566</v>
      </c>
      <c r="B783" s="23" t="str">
        <f aca="false">IFERROR(INDEX(Sprint!$A$2:$A$11,MATCH(A783,Sprint!$B$2:$B$11,1)),"")</f>
        <v>S7</v>
      </c>
      <c r="C783" s="6" t="s">
        <v>37</v>
      </c>
      <c r="D783" s="6" t="s">
        <v>150</v>
      </c>
      <c r="E783" s="7" t="n">
        <v>0.25</v>
      </c>
      <c r="F783" s="6"/>
    </row>
    <row r="784" customFormat="false" ht="15" hidden="false" customHeight="false" outlineLevel="0" collapsed="false">
      <c r="A784" s="22" t="n">
        <v>46566</v>
      </c>
      <c r="B784" s="23" t="str">
        <f aca="false">IFERROR(INDEX(Sprint!$A$2:$A$11,MATCH(A784,Sprint!$B$2:$B$11,1)),"")</f>
        <v>S7</v>
      </c>
      <c r="C784" s="6" t="s">
        <v>37</v>
      </c>
      <c r="D784" s="6" t="s">
        <v>151</v>
      </c>
      <c r="E784" s="7" t="n">
        <v>0.25</v>
      </c>
      <c r="F784" s="6"/>
    </row>
    <row r="785" customFormat="false" ht="15" hidden="false" customHeight="false" outlineLevel="0" collapsed="false">
      <c r="A785" s="22" t="n">
        <v>46566</v>
      </c>
      <c r="B785" s="23" t="str">
        <f aca="false">IFERROR(INDEX(Sprint!$A$2:$A$11,MATCH(A785,Sprint!$B$2:$B$11,1)),"")</f>
        <v>S7</v>
      </c>
      <c r="C785" s="6" t="s">
        <v>37</v>
      </c>
      <c r="D785" s="6" t="s">
        <v>154</v>
      </c>
      <c r="E785" s="7" t="n">
        <v>0.25</v>
      </c>
      <c r="F785" s="6"/>
    </row>
    <row r="786" customFormat="false" ht="15" hidden="false" customHeight="false" outlineLevel="0" collapsed="false">
      <c r="A786" s="22" t="n">
        <v>46566</v>
      </c>
      <c r="B786" s="23" t="str">
        <f aca="false">IFERROR(INDEX(Sprint!$A$2:$A$11,MATCH(A786,Sprint!$B$2:$B$11,1)),"")</f>
        <v>S7</v>
      </c>
      <c r="C786" s="6" t="s">
        <v>37</v>
      </c>
      <c r="D786" s="6" t="s">
        <v>155</v>
      </c>
      <c r="E786" s="7" t="n">
        <v>0.25</v>
      </c>
      <c r="F786" s="6"/>
    </row>
    <row r="787" customFormat="false" ht="15" hidden="false" customHeight="false" outlineLevel="0" collapsed="false">
      <c r="A787" s="22" t="n">
        <v>46566</v>
      </c>
      <c r="B787" s="23" t="str">
        <f aca="false">IFERROR(INDEX(Sprint!$A$2:$A$11,MATCH(A787,Sprint!$B$2:$B$11,1)),"")</f>
        <v>S7</v>
      </c>
      <c r="C787" s="6" t="s">
        <v>49</v>
      </c>
      <c r="D787" s="6" t="s">
        <v>286</v>
      </c>
      <c r="E787" s="7" t="n">
        <v>1</v>
      </c>
      <c r="F787" s="6"/>
    </row>
    <row r="788" customFormat="false" ht="15" hidden="false" customHeight="false" outlineLevel="0" collapsed="false">
      <c r="A788" s="22" t="n">
        <v>46567</v>
      </c>
      <c r="B788" s="23" t="str">
        <f aca="false">IFERROR(INDEX(Sprint!$A$2:$A$11,MATCH(A788,Sprint!$B$2:$B$11,1)),"")</f>
        <v>S7</v>
      </c>
      <c r="C788" s="6" t="s">
        <v>56</v>
      </c>
      <c r="D788" s="6" t="s">
        <v>284</v>
      </c>
      <c r="E788" s="7" t="n">
        <v>1</v>
      </c>
      <c r="F788" s="6"/>
    </row>
    <row r="789" customFormat="false" ht="15" hidden="false" customHeight="false" outlineLevel="0" collapsed="false">
      <c r="A789" s="22" t="n">
        <v>46567</v>
      </c>
      <c r="B789" s="23" t="str">
        <f aca="false">IFERROR(INDEX(Sprint!$A$2:$A$11,MATCH(A789,Sprint!$B$2:$B$11,1)),"")</f>
        <v>S7</v>
      </c>
      <c r="C789" s="6" t="s">
        <v>58</v>
      </c>
      <c r="D789" s="6" t="s">
        <v>287</v>
      </c>
      <c r="E789" s="7" t="n">
        <v>1</v>
      </c>
      <c r="F789" s="6"/>
    </row>
    <row r="790" customFormat="false" ht="15" hidden="false" customHeight="false" outlineLevel="0" collapsed="false">
      <c r="A790" s="22" t="n">
        <v>46567</v>
      </c>
      <c r="B790" s="23" t="str">
        <f aca="false">IFERROR(INDEX(Sprint!$A$2:$A$11,MATCH(A790,Sprint!$B$2:$B$11,1)),"")</f>
        <v>S7</v>
      </c>
      <c r="C790" s="6" t="s">
        <v>60</v>
      </c>
      <c r="D790" s="6" t="s">
        <v>285</v>
      </c>
      <c r="E790" s="7" t="n">
        <v>1</v>
      </c>
      <c r="F790" s="6"/>
    </row>
    <row r="791" customFormat="false" ht="15" hidden="false" customHeight="false" outlineLevel="0" collapsed="false">
      <c r="A791" s="22" t="n">
        <v>46567</v>
      </c>
      <c r="B791" s="23" t="str">
        <f aca="false">IFERROR(INDEX(Sprint!$A$2:$A$11,MATCH(A791,Sprint!$B$2:$B$11,1)),"")</f>
        <v>S7</v>
      </c>
      <c r="C791" s="6" t="s">
        <v>62</v>
      </c>
      <c r="D791" s="6" t="s">
        <v>288</v>
      </c>
      <c r="E791" s="7" t="n">
        <v>1</v>
      </c>
      <c r="F791" s="6"/>
    </row>
    <row r="792" customFormat="false" ht="15" hidden="false" customHeight="false" outlineLevel="0" collapsed="false">
      <c r="A792" s="22" t="n">
        <v>46567</v>
      </c>
      <c r="B792" s="23" t="str">
        <f aca="false">IFERROR(INDEX(Sprint!$A$2:$A$11,MATCH(A792,Sprint!$B$2:$B$11,1)),"")</f>
        <v>S7</v>
      </c>
      <c r="C792" s="6" t="s">
        <v>65</v>
      </c>
      <c r="D792" s="6" t="s">
        <v>288</v>
      </c>
      <c r="E792" s="7" t="n">
        <v>1</v>
      </c>
      <c r="F792" s="6"/>
    </row>
    <row r="793" customFormat="false" ht="15" hidden="false" customHeight="false" outlineLevel="0" collapsed="false">
      <c r="A793" s="22" t="n">
        <v>46567</v>
      </c>
      <c r="B793" s="23" t="str">
        <f aca="false">IFERROR(INDEX(Sprint!$A$2:$A$11,MATCH(A793,Sprint!$B$2:$B$11,1)),"")</f>
        <v>S7</v>
      </c>
      <c r="C793" s="6" t="s">
        <v>37</v>
      </c>
      <c r="D793" s="6" t="s">
        <v>156</v>
      </c>
      <c r="E793" s="7" t="n">
        <v>0.25</v>
      </c>
      <c r="F793" s="6"/>
    </row>
    <row r="794" customFormat="false" ht="15" hidden="false" customHeight="false" outlineLevel="0" collapsed="false">
      <c r="A794" s="22" t="n">
        <v>46567</v>
      </c>
      <c r="B794" s="23" t="str">
        <f aca="false">IFERROR(INDEX(Sprint!$A$2:$A$11,MATCH(A794,Sprint!$B$2:$B$11,1)),"")</f>
        <v>S7</v>
      </c>
      <c r="C794" s="6" t="s">
        <v>37</v>
      </c>
      <c r="D794" s="6" t="s">
        <v>159</v>
      </c>
      <c r="E794" s="7" t="n">
        <v>0.25</v>
      </c>
      <c r="F794" s="6"/>
    </row>
    <row r="795" customFormat="false" ht="15" hidden="false" customHeight="false" outlineLevel="0" collapsed="false">
      <c r="A795" s="22" t="n">
        <v>46567</v>
      </c>
      <c r="B795" s="23" t="str">
        <f aca="false">IFERROR(INDEX(Sprint!$A$2:$A$11,MATCH(A795,Sprint!$B$2:$B$11,1)),"")</f>
        <v>S7</v>
      </c>
      <c r="C795" s="6" t="s">
        <v>37</v>
      </c>
      <c r="D795" s="6" t="s">
        <v>175</v>
      </c>
      <c r="E795" s="7" t="n">
        <v>0.25</v>
      </c>
      <c r="F795" s="6"/>
    </row>
    <row r="796" customFormat="false" ht="15" hidden="false" customHeight="false" outlineLevel="0" collapsed="false">
      <c r="A796" s="22" t="n">
        <v>46567</v>
      </c>
      <c r="B796" s="23" t="str">
        <f aca="false">IFERROR(INDEX(Sprint!$A$2:$A$11,MATCH(A796,Sprint!$B$2:$B$11,1)),"")</f>
        <v>S7</v>
      </c>
      <c r="C796" s="6" t="s">
        <v>49</v>
      </c>
      <c r="D796" s="6" t="s">
        <v>286</v>
      </c>
      <c r="E796" s="7" t="n">
        <v>1</v>
      </c>
      <c r="F796" s="6"/>
    </row>
    <row r="797" customFormat="false" ht="15" hidden="false" customHeight="false" outlineLevel="0" collapsed="false">
      <c r="A797" s="22" t="n">
        <v>46568</v>
      </c>
      <c r="B797" s="23" t="str">
        <f aca="false">IFERROR(INDEX(Sprint!$A$2:$A$11,MATCH(A797,Sprint!$B$2:$B$11,1)),"")</f>
        <v>S7</v>
      </c>
      <c r="C797" s="6" t="s">
        <v>56</v>
      </c>
      <c r="D797" s="6" t="s">
        <v>289</v>
      </c>
      <c r="E797" s="7" t="n">
        <v>1</v>
      </c>
      <c r="F797" s="6"/>
    </row>
    <row r="798" customFormat="false" ht="15" hidden="false" customHeight="false" outlineLevel="0" collapsed="false">
      <c r="A798" s="22" t="n">
        <v>46568</v>
      </c>
      <c r="B798" s="23" t="str">
        <f aca="false">IFERROR(INDEX(Sprint!$A$2:$A$11,MATCH(A798,Sprint!$B$2:$B$11,1)),"")</f>
        <v>S7</v>
      </c>
      <c r="C798" s="6" t="s">
        <v>58</v>
      </c>
      <c r="D798" s="6" t="s">
        <v>287</v>
      </c>
      <c r="E798" s="7" t="n">
        <v>1</v>
      </c>
      <c r="F798" s="6"/>
    </row>
    <row r="799" customFormat="false" ht="15" hidden="false" customHeight="false" outlineLevel="0" collapsed="false">
      <c r="A799" s="22" t="n">
        <v>46568</v>
      </c>
      <c r="B799" s="23" t="str">
        <f aca="false">IFERROR(INDEX(Sprint!$A$2:$A$11,MATCH(A799,Sprint!$B$2:$B$11,1)),"")</f>
        <v>S7</v>
      </c>
      <c r="C799" s="6" t="s">
        <v>62</v>
      </c>
      <c r="D799" s="6" t="s">
        <v>288</v>
      </c>
      <c r="E799" s="7" t="n">
        <v>1</v>
      </c>
      <c r="F799" s="6"/>
    </row>
    <row r="800" customFormat="false" ht="15" hidden="false" customHeight="false" outlineLevel="0" collapsed="false">
      <c r="A800" s="22" t="n">
        <v>46568</v>
      </c>
      <c r="B800" s="23" t="str">
        <f aca="false">IFERROR(INDEX(Sprint!$A$2:$A$11,MATCH(A800,Sprint!$B$2:$B$11,1)),"")</f>
        <v>S7</v>
      </c>
      <c r="C800" s="6" t="s">
        <v>65</v>
      </c>
      <c r="D800" s="6" t="s">
        <v>288</v>
      </c>
      <c r="E800" s="7" t="n">
        <v>1</v>
      </c>
      <c r="F800" s="6"/>
    </row>
    <row r="801" customFormat="false" ht="15" hidden="false" customHeight="false" outlineLevel="0" collapsed="false">
      <c r="A801" s="22" t="n">
        <v>46568</v>
      </c>
      <c r="B801" s="23" t="str">
        <f aca="false">IFERROR(INDEX(Sprint!$A$2:$A$11,MATCH(A801,Sprint!$B$2:$B$11,1)),"")</f>
        <v>S7</v>
      </c>
      <c r="C801" s="6" t="s">
        <v>37</v>
      </c>
      <c r="D801" s="6" t="s">
        <v>290</v>
      </c>
      <c r="E801" s="7" t="n">
        <v>0.5</v>
      </c>
      <c r="F801" s="6"/>
    </row>
    <row r="802" customFormat="false" ht="15" hidden="false" customHeight="false" outlineLevel="0" collapsed="false">
      <c r="A802" s="22" t="n">
        <v>46569</v>
      </c>
      <c r="B802" s="23" t="str">
        <f aca="false">IFERROR(INDEX(Sprint!$A$2:$A$11,MATCH(A802,Sprint!$B$2:$B$11,1)),"")</f>
        <v>S7</v>
      </c>
      <c r="C802" s="6" t="s">
        <v>56</v>
      </c>
      <c r="D802" s="6" t="s">
        <v>289</v>
      </c>
      <c r="E802" s="7" t="n">
        <v>1</v>
      </c>
      <c r="F802" s="6"/>
    </row>
    <row r="803" customFormat="false" ht="15" hidden="false" customHeight="false" outlineLevel="0" collapsed="false">
      <c r="A803" s="22" t="n">
        <v>46569</v>
      </c>
      <c r="B803" s="23" t="str">
        <f aca="false">IFERROR(INDEX(Sprint!$A$2:$A$11,MATCH(A803,Sprint!$B$2:$B$11,1)),"")</f>
        <v>S7</v>
      </c>
      <c r="C803" s="6" t="s">
        <v>58</v>
      </c>
      <c r="D803" s="6" t="s">
        <v>287</v>
      </c>
      <c r="E803" s="7" t="n">
        <v>1</v>
      </c>
      <c r="F803" s="6"/>
    </row>
    <row r="804" customFormat="false" ht="15" hidden="false" customHeight="false" outlineLevel="0" collapsed="false">
      <c r="A804" s="22" t="n">
        <v>46569</v>
      </c>
      <c r="B804" s="23" t="str">
        <f aca="false">IFERROR(INDEX(Sprint!$A$2:$A$11,MATCH(A804,Sprint!$B$2:$B$11,1)),"")</f>
        <v>S7</v>
      </c>
      <c r="C804" s="6" t="s">
        <v>62</v>
      </c>
      <c r="D804" s="6" t="s">
        <v>288</v>
      </c>
      <c r="E804" s="7" t="n">
        <v>1</v>
      </c>
      <c r="F804" s="6"/>
    </row>
    <row r="805" customFormat="false" ht="15" hidden="false" customHeight="false" outlineLevel="0" collapsed="false">
      <c r="A805" s="22" t="n">
        <v>46569</v>
      </c>
      <c r="B805" s="23" t="str">
        <f aca="false">IFERROR(INDEX(Sprint!$A$2:$A$11,MATCH(A805,Sprint!$B$2:$B$11,1)),"")</f>
        <v>S7</v>
      </c>
      <c r="C805" s="6" t="s">
        <v>65</v>
      </c>
      <c r="D805" s="6" t="s">
        <v>288</v>
      </c>
      <c r="E805" s="7" t="n">
        <v>1</v>
      </c>
      <c r="F805" s="6"/>
    </row>
    <row r="806" customFormat="false" ht="15" hidden="false" customHeight="false" outlineLevel="0" collapsed="false">
      <c r="A806" s="22" t="n">
        <v>46569</v>
      </c>
      <c r="B806" s="23" t="str">
        <f aca="false">IFERROR(INDEX(Sprint!$A$2:$A$11,MATCH(A806,Sprint!$B$2:$B$11,1)),"")</f>
        <v>S7</v>
      </c>
      <c r="C806" s="6" t="s">
        <v>37</v>
      </c>
      <c r="D806" s="6" t="s">
        <v>290</v>
      </c>
      <c r="E806" s="7" t="n">
        <v>0.5</v>
      </c>
      <c r="F806" s="6"/>
    </row>
    <row r="807" customFormat="false" ht="15" hidden="false" customHeight="false" outlineLevel="0" collapsed="false">
      <c r="A807" s="22" t="n">
        <v>46569</v>
      </c>
      <c r="B807" s="23" t="str">
        <f aca="false">IFERROR(INDEX(Sprint!$A$2:$A$11,MATCH(A807,Sprint!$B$2:$B$11,1)),"")</f>
        <v>S7</v>
      </c>
      <c r="C807" s="6" t="s">
        <v>37</v>
      </c>
      <c r="D807" s="6" t="s">
        <v>245</v>
      </c>
      <c r="E807" s="7" t="n">
        <v>0.25</v>
      </c>
      <c r="F807" s="6"/>
    </row>
    <row r="808" customFormat="false" ht="15" hidden="false" customHeight="false" outlineLevel="0" collapsed="false">
      <c r="A808" s="22" t="n">
        <v>46570</v>
      </c>
      <c r="B808" s="23" t="str">
        <f aca="false">IFERROR(INDEX(Sprint!$A$2:$A$11,MATCH(A808,Sprint!$B$2:$B$11,1)),"")</f>
        <v>S8</v>
      </c>
      <c r="C808" s="6" t="s">
        <v>58</v>
      </c>
      <c r="D808" s="6" t="s">
        <v>287</v>
      </c>
      <c r="E808" s="7" t="n">
        <v>1</v>
      </c>
      <c r="F808" s="6"/>
    </row>
    <row r="809" customFormat="false" ht="15" hidden="false" customHeight="false" outlineLevel="0" collapsed="false">
      <c r="A809" s="22" t="n">
        <v>46570</v>
      </c>
      <c r="B809" s="23" t="str">
        <f aca="false">IFERROR(INDEX(Sprint!$A$2:$A$11,MATCH(A809,Sprint!$B$2:$B$11,1)),"")</f>
        <v>S8</v>
      </c>
      <c r="C809" s="6" t="s">
        <v>62</v>
      </c>
      <c r="D809" s="6" t="s">
        <v>291</v>
      </c>
      <c r="E809" s="7" t="n">
        <v>1</v>
      </c>
      <c r="F809" s="6"/>
    </row>
    <row r="810" customFormat="false" ht="15" hidden="false" customHeight="false" outlineLevel="0" collapsed="false">
      <c r="A810" s="22" t="n">
        <v>46570</v>
      </c>
      <c r="B810" s="23" t="str">
        <f aca="false">IFERROR(INDEX(Sprint!$A$2:$A$11,MATCH(A810,Sprint!$B$2:$B$11,1)),"")</f>
        <v>S8</v>
      </c>
      <c r="C810" s="6" t="s">
        <v>65</v>
      </c>
      <c r="D810" s="6" t="s">
        <v>291</v>
      </c>
      <c r="E810" s="7" t="n">
        <v>1</v>
      </c>
      <c r="F810" s="6"/>
    </row>
    <row r="811" customFormat="false" ht="15" hidden="false" customHeight="false" outlineLevel="0" collapsed="false">
      <c r="A811" s="22" t="n">
        <v>46570</v>
      </c>
      <c r="B811" s="23" t="str">
        <f aca="false">IFERROR(INDEX(Sprint!$A$2:$A$11,MATCH(A811,Sprint!$B$2:$B$11,1)),"")</f>
        <v>S8</v>
      </c>
      <c r="C811" s="6" t="s">
        <v>37</v>
      </c>
      <c r="D811" s="6" t="s">
        <v>157</v>
      </c>
      <c r="E811" s="7" t="n">
        <v>0.25</v>
      </c>
      <c r="F811" s="6"/>
    </row>
    <row r="812" customFormat="false" ht="15" hidden="false" customHeight="false" outlineLevel="0" collapsed="false">
      <c r="A812" s="22" t="n">
        <v>46570</v>
      </c>
      <c r="B812" s="23" t="str">
        <f aca="false">IFERROR(INDEX(Sprint!$A$2:$A$11,MATCH(A812,Sprint!$B$2:$B$11,1)),"")</f>
        <v>S8</v>
      </c>
      <c r="C812" s="6" t="s">
        <v>37</v>
      </c>
      <c r="D812" s="6" t="s">
        <v>290</v>
      </c>
      <c r="E812" s="7" t="n">
        <v>0.5</v>
      </c>
      <c r="F812" s="6"/>
    </row>
    <row r="813" customFormat="false" ht="15" hidden="false" customHeight="false" outlineLevel="0" collapsed="false">
      <c r="A813" s="22" t="n">
        <v>46570</v>
      </c>
      <c r="B813" s="23" t="str">
        <f aca="false">IFERROR(INDEX(Sprint!$A$2:$A$11,MATCH(A813,Sprint!$B$2:$B$11,1)),"")</f>
        <v>S8</v>
      </c>
      <c r="C813" s="6" t="s">
        <v>37</v>
      </c>
      <c r="D813" s="6" t="s">
        <v>168</v>
      </c>
      <c r="E813" s="7" t="n">
        <v>0.25</v>
      </c>
      <c r="F813" s="6"/>
    </row>
    <row r="814" customFormat="false" ht="15" hidden="false" customHeight="false" outlineLevel="0" collapsed="false">
      <c r="A814" s="22" t="n">
        <v>46570</v>
      </c>
      <c r="B814" s="23" t="str">
        <f aca="false">IFERROR(INDEX(Sprint!$A$2:$A$11,MATCH(A814,Sprint!$B$2:$B$11,1)),"")</f>
        <v>S8</v>
      </c>
      <c r="C814" s="6" t="s">
        <v>49</v>
      </c>
      <c r="D814" s="6" t="s">
        <v>261</v>
      </c>
      <c r="E814" s="7" t="n">
        <v>0.5</v>
      </c>
      <c r="F814" s="6"/>
    </row>
    <row r="815" customFormat="false" ht="15" hidden="false" customHeight="false" outlineLevel="0" collapsed="false">
      <c r="A815" s="22" t="n">
        <v>46570</v>
      </c>
      <c r="B815" s="23" t="str">
        <f aca="false">IFERROR(INDEX(Sprint!$A$2:$A$11,MATCH(A815,Sprint!$B$2:$B$11,1)),"")</f>
        <v>S8</v>
      </c>
      <c r="C815" s="6" t="s">
        <v>44</v>
      </c>
      <c r="D815" s="6" t="s">
        <v>277</v>
      </c>
      <c r="E815" s="7" t="n">
        <v>1</v>
      </c>
      <c r="F815" s="6"/>
    </row>
    <row r="816" customFormat="false" ht="15" hidden="false" customHeight="false" outlineLevel="0" collapsed="false">
      <c r="A816" s="22" t="n">
        <v>46570</v>
      </c>
      <c r="B816" s="23" t="str">
        <f aca="false">IFERROR(INDEX(Sprint!$A$2:$A$11,MATCH(A816,Sprint!$B$2:$B$11,1)),"")</f>
        <v>S8</v>
      </c>
      <c r="C816" s="6" t="s">
        <v>41</v>
      </c>
      <c r="D816" s="6" t="s">
        <v>275</v>
      </c>
      <c r="E816" s="7" t="n">
        <v>1</v>
      </c>
      <c r="F816" s="6"/>
    </row>
    <row r="817" customFormat="false" ht="15" hidden="false" customHeight="false" outlineLevel="0" collapsed="false">
      <c r="A817" s="22" t="n">
        <v>46573</v>
      </c>
      <c r="B817" s="23" t="str">
        <f aca="false">IFERROR(INDEX(Sprint!$A$2:$A$11,MATCH(A817,Sprint!$B$2:$B$11,1)),"")</f>
        <v>S8</v>
      </c>
      <c r="C817" s="6" t="s">
        <v>60</v>
      </c>
      <c r="D817" s="6" t="s">
        <v>292</v>
      </c>
      <c r="E817" s="7" t="n">
        <v>1</v>
      </c>
      <c r="F817" s="6"/>
    </row>
    <row r="818" customFormat="false" ht="15" hidden="false" customHeight="false" outlineLevel="0" collapsed="false">
      <c r="A818" s="22" t="n">
        <v>46573</v>
      </c>
      <c r="B818" s="23" t="str">
        <f aca="false">IFERROR(INDEX(Sprint!$A$2:$A$11,MATCH(A818,Sprint!$B$2:$B$11,1)),"")</f>
        <v>S8</v>
      </c>
      <c r="C818" s="6" t="s">
        <v>52</v>
      </c>
      <c r="D818" s="6" t="s">
        <v>293</v>
      </c>
      <c r="E818" s="7" t="n">
        <v>0.75</v>
      </c>
      <c r="F818" s="6"/>
    </row>
    <row r="819" customFormat="false" ht="15" hidden="false" customHeight="false" outlineLevel="0" collapsed="false">
      <c r="A819" s="22" t="n">
        <v>46573</v>
      </c>
      <c r="B819" s="23" t="str">
        <f aca="false">IFERROR(INDEX(Sprint!$A$2:$A$11,MATCH(A819,Sprint!$B$2:$B$11,1)),"")</f>
        <v>S8</v>
      </c>
      <c r="C819" s="6" t="s">
        <v>62</v>
      </c>
      <c r="D819" s="6" t="s">
        <v>291</v>
      </c>
      <c r="E819" s="7" t="n">
        <v>1</v>
      </c>
      <c r="F819" s="6"/>
    </row>
    <row r="820" customFormat="false" ht="15" hidden="false" customHeight="false" outlineLevel="0" collapsed="false">
      <c r="A820" s="22" t="n">
        <v>46573</v>
      </c>
      <c r="B820" s="23" t="str">
        <f aca="false">IFERROR(INDEX(Sprint!$A$2:$A$11,MATCH(A820,Sprint!$B$2:$B$11,1)),"")</f>
        <v>S8</v>
      </c>
      <c r="C820" s="6" t="s">
        <v>65</v>
      </c>
      <c r="D820" s="6" t="s">
        <v>294</v>
      </c>
      <c r="E820" s="7" t="n">
        <v>1</v>
      </c>
      <c r="F820" s="6"/>
    </row>
    <row r="821" customFormat="false" ht="15" hidden="false" customHeight="false" outlineLevel="0" collapsed="false">
      <c r="A821" s="22" t="n">
        <v>46573</v>
      </c>
      <c r="B821" s="23" t="str">
        <f aca="false">IFERROR(INDEX(Sprint!$A$2:$A$11,MATCH(A821,Sprint!$B$2:$B$11,1)),"")</f>
        <v>S8</v>
      </c>
      <c r="C821" s="6" t="s">
        <v>37</v>
      </c>
      <c r="D821" s="6" t="s">
        <v>290</v>
      </c>
      <c r="E821" s="7" t="n">
        <v>0.5</v>
      </c>
      <c r="F821" s="6"/>
    </row>
    <row r="822" customFormat="false" ht="15" hidden="false" customHeight="false" outlineLevel="0" collapsed="false">
      <c r="A822" s="22" t="n">
        <v>46573</v>
      </c>
      <c r="B822" s="23" t="str">
        <f aca="false">IFERROR(INDEX(Sprint!$A$2:$A$11,MATCH(A822,Sprint!$B$2:$B$11,1)),"")</f>
        <v>S8</v>
      </c>
      <c r="C822" s="6" t="s">
        <v>37</v>
      </c>
      <c r="D822" s="6" t="s">
        <v>158</v>
      </c>
      <c r="E822" s="7" t="n">
        <v>0.25</v>
      </c>
      <c r="F822" s="6"/>
    </row>
    <row r="823" customFormat="false" ht="15" hidden="false" customHeight="false" outlineLevel="0" collapsed="false">
      <c r="A823" s="22" t="n">
        <v>46573</v>
      </c>
      <c r="B823" s="23" t="str">
        <f aca="false">IFERROR(INDEX(Sprint!$A$2:$A$11,MATCH(A823,Sprint!$B$2:$B$11,1)),"")</f>
        <v>S8</v>
      </c>
      <c r="C823" s="6" t="s">
        <v>37</v>
      </c>
      <c r="D823" s="6" t="s">
        <v>165</v>
      </c>
      <c r="E823" s="7" t="n">
        <v>0.25</v>
      </c>
      <c r="F823" s="6"/>
    </row>
    <row r="824" customFormat="false" ht="15" hidden="false" customHeight="false" outlineLevel="0" collapsed="false">
      <c r="A824" s="22" t="n">
        <v>46573</v>
      </c>
      <c r="B824" s="23" t="str">
        <f aca="false">IFERROR(INDEX(Sprint!$A$2:$A$11,MATCH(A824,Sprint!$B$2:$B$11,1)),"")</f>
        <v>S8</v>
      </c>
      <c r="C824" s="6" t="s">
        <v>49</v>
      </c>
      <c r="D824" s="6" t="s">
        <v>293</v>
      </c>
      <c r="E824" s="7" t="n">
        <v>0.75</v>
      </c>
      <c r="F824" s="6"/>
    </row>
    <row r="825" customFormat="false" ht="15" hidden="false" customHeight="false" outlineLevel="0" collapsed="false">
      <c r="A825" s="22" t="n">
        <v>46574</v>
      </c>
      <c r="B825" s="23" t="str">
        <f aca="false">IFERROR(INDEX(Sprint!$A$2:$A$11,MATCH(A825,Sprint!$B$2:$B$11,1)),"")</f>
        <v>S8</v>
      </c>
      <c r="C825" s="6" t="s">
        <v>60</v>
      </c>
      <c r="D825" s="6" t="s">
        <v>292</v>
      </c>
      <c r="E825" s="7" t="n">
        <v>1</v>
      </c>
      <c r="F825" s="6"/>
    </row>
    <row r="826" customFormat="false" ht="15" hidden="false" customHeight="false" outlineLevel="0" collapsed="false">
      <c r="A826" s="22" t="n">
        <v>46574</v>
      </c>
      <c r="B826" s="23" t="str">
        <f aca="false">IFERROR(INDEX(Sprint!$A$2:$A$11,MATCH(A826,Sprint!$B$2:$B$11,1)),"")</f>
        <v>S8</v>
      </c>
      <c r="C826" s="6" t="s">
        <v>52</v>
      </c>
      <c r="D826" s="6" t="s">
        <v>295</v>
      </c>
      <c r="E826" s="7" t="n">
        <v>0.75</v>
      </c>
      <c r="F826" s="6"/>
    </row>
    <row r="827" customFormat="false" ht="15" hidden="false" customHeight="false" outlineLevel="0" collapsed="false">
      <c r="A827" s="22" t="n">
        <v>46574</v>
      </c>
      <c r="B827" s="23" t="str">
        <f aca="false">IFERROR(INDEX(Sprint!$A$2:$A$11,MATCH(A827,Sprint!$B$2:$B$11,1)),"")</f>
        <v>S8</v>
      </c>
      <c r="C827" s="6" t="s">
        <v>52</v>
      </c>
      <c r="D827" s="6" t="s">
        <v>293</v>
      </c>
      <c r="E827" s="7" t="n">
        <v>0.25</v>
      </c>
      <c r="F827" s="6"/>
    </row>
    <row r="828" customFormat="false" ht="15" hidden="false" customHeight="false" outlineLevel="0" collapsed="false">
      <c r="A828" s="22" t="n">
        <v>46574</v>
      </c>
      <c r="B828" s="23" t="str">
        <f aca="false">IFERROR(INDEX(Sprint!$A$2:$A$11,MATCH(A828,Sprint!$B$2:$B$11,1)),"")</f>
        <v>S8</v>
      </c>
      <c r="C828" s="6" t="s">
        <v>65</v>
      </c>
      <c r="D828" s="6" t="s">
        <v>294</v>
      </c>
      <c r="E828" s="7" t="n">
        <v>1</v>
      </c>
      <c r="F828" s="6"/>
    </row>
    <row r="829" customFormat="false" ht="15" hidden="false" customHeight="false" outlineLevel="0" collapsed="false">
      <c r="A829" s="22" t="n">
        <v>46574</v>
      </c>
      <c r="B829" s="23" t="str">
        <f aca="false">IFERROR(INDEX(Sprint!$A$2:$A$11,MATCH(A829,Sprint!$B$2:$B$11,1)),"")</f>
        <v>S8</v>
      </c>
      <c r="C829" s="6" t="s">
        <v>37</v>
      </c>
      <c r="D829" s="6" t="s">
        <v>150</v>
      </c>
      <c r="E829" s="7" t="n">
        <v>0.25</v>
      </c>
      <c r="F829" s="6"/>
    </row>
    <row r="830" customFormat="false" ht="15" hidden="false" customHeight="false" outlineLevel="0" collapsed="false">
      <c r="A830" s="22" t="n">
        <v>46574</v>
      </c>
      <c r="B830" s="23" t="str">
        <f aca="false">IFERROR(INDEX(Sprint!$A$2:$A$11,MATCH(A830,Sprint!$B$2:$B$11,1)),"")</f>
        <v>S8</v>
      </c>
      <c r="C830" s="6" t="s">
        <v>37</v>
      </c>
      <c r="D830" s="6" t="s">
        <v>155</v>
      </c>
      <c r="E830" s="7" t="n">
        <v>0.25</v>
      </c>
      <c r="F830" s="6"/>
    </row>
    <row r="831" customFormat="false" ht="15" hidden="false" customHeight="false" outlineLevel="0" collapsed="false">
      <c r="A831" s="22" t="n">
        <v>46574</v>
      </c>
      <c r="B831" s="23" t="str">
        <f aca="false">IFERROR(INDEX(Sprint!$A$2:$A$11,MATCH(A831,Sprint!$B$2:$B$11,1)),"")</f>
        <v>S8</v>
      </c>
      <c r="C831" s="6" t="s">
        <v>37</v>
      </c>
      <c r="D831" s="6" t="s">
        <v>290</v>
      </c>
      <c r="E831" s="7" t="n">
        <v>0.5</v>
      </c>
      <c r="F831" s="6"/>
    </row>
    <row r="832" customFormat="false" ht="15" hidden="false" customHeight="false" outlineLevel="0" collapsed="false">
      <c r="A832" s="22" t="n">
        <v>46574</v>
      </c>
      <c r="B832" s="23" t="str">
        <f aca="false">IFERROR(INDEX(Sprint!$A$2:$A$11,MATCH(A832,Sprint!$B$2:$B$11,1)),"")</f>
        <v>S8</v>
      </c>
      <c r="C832" s="6" t="s">
        <v>49</v>
      </c>
      <c r="D832" s="6" t="s">
        <v>293</v>
      </c>
      <c r="E832" s="7" t="n">
        <v>0.25</v>
      </c>
      <c r="F832" s="6"/>
    </row>
    <row r="833" customFormat="false" ht="15" hidden="false" customHeight="false" outlineLevel="0" collapsed="false">
      <c r="A833" s="22" t="n">
        <v>46575</v>
      </c>
      <c r="B833" s="23" t="str">
        <f aca="false">IFERROR(INDEX(Sprint!$A$2:$A$11,MATCH(A833,Sprint!$B$2:$B$11,1)),"")</f>
        <v>S8</v>
      </c>
      <c r="C833" s="6" t="s">
        <v>60</v>
      </c>
      <c r="D833" s="6" t="s">
        <v>292</v>
      </c>
      <c r="E833" s="7" t="n">
        <v>1</v>
      </c>
      <c r="F833" s="6"/>
    </row>
    <row r="834" customFormat="false" ht="15" hidden="false" customHeight="false" outlineLevel="0" collapsed="false">
      <c r="A834" s="22" t="n">
        <v>46575</v>
      </c>
      <c r="B834" s="23" t="str">
        <f aca="false">IFERROR(INDEX(Sprint!$A$2:$A$11,MATCH(A834,Sprint!$B$2:$B$11,1)),"")</f>
        <v>S8</v>
      </c>
      <c r="C834" s="6" t="s">
        <v>52</v>
      </c>
      <c r="D834" s="6" t="s">
        <v>295</v>
      </c>
      <c r="E834" s="7" t="n">
        <v>0.75</v>
      </c>
      <c r="F834" s="6"/>
    </row>
    <row r="835" customFormat="false" ht="15" hidden="false" customHeight="false" outlineLevel="0" collapsed="false">
      <c r="A835" s="22" t="n">
        <v>46575</v>
      </c>
      <c r="B835" s="23" t="str">
        <f aca="false">IFERROR(INDEX(Sprint!$A$2:$A$11,MATCH(A835,Sprint!$B$2:$B$11,1)),"")</f>
        <v>S8</v>
      </c>
      <c r="C835" s="6" t="s">
        <v>52</v>
      </c>
      <c r="D835" s="6" t="s">
        <v>293</v>
      </c>
      <c r="E835" s="7" t="n">
        <v>0.25</v>
      </c>
      <c r="F835" s="6"/>
    </row>
    <row r="836" customFormat="false" ht="15" hidden="false" customHeight="false" outlineLevel="0" collapsed="false">
      <c r="A836" s="22" t="n">
        <v>46575</v>
      </c>
      <c r="B836" s="23" t="str">
        <f aca="false">IFERROR(INDEX(Sprint!$A$2:$A$11,MATCH(A836,Sprint!$B$2:$B$11,1)),"")</f>
        <v>S8</v>
      </c>
      <c r="C836" s="6" t="s">
        <v>65</v>
      </c>
      <c r="D836" s="6" t="s">
        <v>294</v>
      </c>
      <c r="E836" s="7" t="n">
        <v>1</v>
      </c>
      <c r="F836" s="6"/>
    </row>
    <row r="837" customFormat="false" ht="15" hidden="false" customHeight="false" outlineLevel="0" collapsed="false">
      <c r="A837" s="22" t="n">
        <v>46575</v>
      </c>
      <c r="B837" s="23" t="str">
        <f aca="false">IFERROR(INDEX(Sprint!$A$2:$A$11,MATCH(A837,Sprint!$B$2:$B$11,1)),"")</f>
        <v>S8</v>
      </c>
      <c r="C837" s="6" t="s">
        <v>37</v>
      </c>
      <c r="D837" s="6" t="s">
        <v>290</v>
      </c>
      <c r="E837" s="7" t="n">
        <v>0.5</v>
      </c>
      <c r="F837" s="6"/>
    </row>
    <row r="838" customFormat="false" ht="15" hidden="false" customHeight="false" outlineLevel="0" collapsed="false">
      <c r="A838" s="22" t="n">
        <v>46575</v>
      </c>
      <c r="B838" s="23" t="str">
        <f aca="false">IFERROR(INDEX(Sprint!$A$2:$A$11,MATCH(A838,Sprint!$B$2:$B$11,1)),"")</f>
        <v>S8</v>
      </c>
      <c r="C838" s="6" t="s">
        <v>37</v>
      </c>
      <c r="D838" s="6" t="s">
        <v>185</v>
      </c>
      <c r="E838" s="7" t="n">
        <v>0.25</v>
      </c>
      <c r="F838" s="6"/>
    </row>
    <row r="839" customFormat="false" ht="15" hidden="false" customHeight="false" outlineLevel="0" collapsed="false">
      <c r="A839" s="22" t="n">
        <v>46575</v>
      </c>
      <c r="B839" s="23" t="str">
        <f aca="false">IFERROR(INDEX(Sprint!$A$2:$A$11,MATCH(A839,Sprint!$B$2:$B$11,1)),"")</f>
        <v>S8</v>
      </c>
      <c r="C839" s="6" t="s">
        <v>37</v>
      </c>
      <c r="D839" s="6" t="s">
        <v>245</v>
      </c>
      <c r="E839" s="7" t="n">
        <v>0.25</v>
      </c>
      <c r="F839" s="6"/>
    </row>
    <row r="840" customFormat="false" ht="15" hidden="false" customHeight="false" outlineLevel="0" collapsed="false">
      <c r="A840" s="22" t="n">
        <v>46575</v>
      </c>
      <c r="B840" s="23" t="str">
        <f aca="false">IFERROR(INDEX(Sprint!$A$2:$A$11,MATCH(A840,Sprint!$B$2:$B$11,1)),"")</f>
        <v>S8</v>
      </c>
      <c r="C840" s="6" t="s">
        <v>49</v>
      </c>
      <c r="D840" s="6" t="s">
        <v>293</v>
      </c>
      <c r="E840" s="7" t="n">
        <v>0.25</v>
      </c>
      <c r="F840" s="6"/>
    </row>
    <row r="841" customFormat="false" ht="15" hidden="false" customHeight="false" outlineLevel="0" collapsed="false">
      <c r="A841" s="22" t="n">
        <v>46576</v>
      </c>
      <c r="B841" s="23" t="str">
        <f aca="false">IFERROR(INDEX(Sprint!$A$2:$A$11,MATCH(A841,Sprint!$B$2:$B$11,1)),"")</f>
        <v>S8</v>
      </c>
      <c r="C841" s="6" t="s">
        <v>56</v>
      </c>
      <c r="D841" s="6" t="s">
        <v>296</v>
      </c>
      <c r="E841" s="7" t="n">
        <v>1</v>
      </c>
      <c r="F841" s="6"/>
    </row>
    <row r="842" customFormat="false" ht="15" hidden="false" customHeight="false" outlineLevel="0" collapsed="false">
      <c r="A842" s="22" t="n">
        <v>46576</v>
      </c>
      <c r="B842" s="23" t="str">
        <f aca="false">IFERROR(INDEX(Sprint!$A$2:$A$11,MATCH(A842,Sprint!$B$2:$B$11,1)),"")</f>
        <v>S8</v>
      </c>
      <c r="C842" s="6" t="s">
        <v>58</v>
      </c>
      <c r="D842" s="6" t="s">
        <v>296</v>
      </c>
      <c r="E842" s="7" t="n">
        <v>1</v>
      </c>
      <c r="F842" s="6"/>
    </row>
    <row r="843" customFormat="false" ht="15" hidden="false" customHeight="false" outlineLevel="0" collapsed="false">
      <c r="A843" s="22" t="n">
        <v>46576</v>
      </c>
      <c r="B843" s="23" t="str">
        <f aca="false">IFERROR(INDEX(Sprint!$A$2:$A$11,MATCH(A843,Sprint!$B$2:$B$11,1)),"")</f>
        <v>S8</v>
      </c>
      <c r="C843" s="6" t="s">
        <v>60</v>
      </c>
      <c r="D843" s="6" t="s">
        <v>297</v>
      </c>
      <c r="E843" s="7" t="n">
        <v>1</v>
      </c>
      <c r="F843" s="6"/>
    </row>
    <row r="844" customFormat="false" ht="15" hidden="false" customHeight="false" outlineLevel="0" collapsed="false">
      <c r="A844" s="22" t="n">
        <v>46576</v>
      </c>
      <c r="B844" s="23" t="str">
        <f aca="false">IFERROR(INDEX(Sprint!$A$2:$A$11,MATCH(A844,Sprint!$B$2:$B$11,1)),"")</f>
        <v>S8</v>
      </c>
      <c r="C844" s="6" t="s">
        <v>52</v>
      </c>
      <c r="D844" s="6" t="s">
        <v>295</v>
      </c>
      <c r="E844" s="7" t="n">
        <v>0.75</v>
      </c>
      <c r="F844" s="6"/>
    </row>
    <row r="845" customFormat="false" ht="15" hidden="false" customHeight="false" outlineLevel="0" collapsed="false">
      <c r="A845" s="22" t="n">
        <v>46576</v>
      </c>
      <c r="B845" s="23" t="str">
        <f aca="false">IFERROR(INDEX(Sprint!$A$2:$A$11,MATCH(A845,Sprint!$B$2:$B$11,1)),"")</f>
        <v>S8</v>
      </c>
      <c r="C845" s="6" t="s">
        <v>52</v>
      </c>
      <c r="D845" s="6" t="s">
        <v>293</v>
      </c>
      <c r="E845" s="7" t="n">
        <v>0.25</v>
      </c>
      <c r="F845" s="6"/>
    </row>
    <row r="846" customFormat="false" ht="15" hidden="false" customHeight="false" outlineLevel="0" collapsed="false">
      <c r="A846" s="22" t="n">
        <v>46576</v>
      </c>
      <c r="B846" s="23" t="str">
        <f aca="false">IFERROR(INDEX(Sprint!$A$2:$A$11,MATCH(A846,Sprint!$B$2:$B$11,1)),"")</f>
        <v>S8</v>
      </c>
      <c r="C846" s="6" t="s">
        <v>65</v>
      </c>
      <c r="D846" s="6" t="s">
        <v>291</v>
      </c>
      <c r="E846" s="7" t="n">
        <v>1</v>
      </c>
      <c r="F846" s="6"/>
    </row>
    <row r="847" customFormat="false" ht="15" hidden="false" customHeight="false" outlineLevel="0" collapsed="false">
      <c r="A847" s="22" t="n">
        <v>46576</v>
      </c>
      <c r="B847" s="23" t="str">
        <f aca="false">IFERROR(INDEX(Sprint!$A$2:$A$11,MATCH(A847,Sprint!$B$2:$B$11,1)),"")</f>
        <v>S8</v>
      </c>
      <c r="C847" s="6" t="s">
        <v>37</v>
      </c>
      <c r="D847" s="6" t="s">
        <v>151</v>
      </c>
      <c r="E847" s="7" t="n">
        <v>0.25</v>
      </c>
      <c r="F847" s="6"/>
    </row>
    <row r="848" customFormat="false" ht="15" hidden="false" customHeight="false" outlineLevel="0" collapsed="false">
      <c r="A848" s="22" t="n">
        <v>46576</v>
      </c>
      <c r="B848" s="23" t="str">
        <f aca="false">IFERROR(INDEX(Sprint!$A$2:$A$11,MATCH(A848,Sprint!$B$2:$B$11,1)),"")</f>
        <v>S8</v>
      </c>
      <c r="C848" s="6" t="s">
        <v>37</v>
      </c>
      <c r="D848" s="6" t="s">
        <v>154</v>
      </c>
      <c r="E848" s="7" t="n">
        <v>0.25</v>
      </c>
      <c r="F848" s="6"/>
    </row>
    <row r="849" customFormat="false" ht="15" hidden="false" customHeight="false" outlineLevel="0" collapsed="false">
      <c r="A849" s="22" t="n">
        <v>46576</v>
      </c>
      <c r="B849" s="23" t="str">
        <f aca="false">IFERROR(INDEX(Sprint!$A$2:$A$11,MATCH(A849,Sprint!$B$2:$B$11,1)),"")</f>
        <v>S8</v>
      </c>
      <c r="C849" s="6" t="s">
        <v>37</v>
      </c>
      <c r="D849" s="6" t="s">
        <v>156</v>
      </c>
      <c r="E849" s="7" t="n">
        <v>0.25</v>
      </c>
      <c r="F849" s="6"/>
    </row>
    <row r="850" customFormat="false" ht="15" hidden="false" customHeight="false" outlineLevel="0" collapsed="false">
      <c r="A850" s="22" t="n">
        <v>46576</v>
      </c>
      <c r="B850" s="23" t="str">
        <f aca="false">IFERROR(INDEX(Sprint!$A$2:$A$11,MATCH(A850,Sprint!$B$2:$B$11,1)),"")</f>
        <v>S8</v>
      </c>
      <c r="C850" s="6" t="s">
        <v>49</v>
      </c>
      <c r="D850" s="6" t="s">
        <v>293</v>
      </c>
      <c r="E850" s="7" t="n">
        <v>0.25</v>
      </c>
      <c r="F850" s="6"/>
    </row>
    <row r="851" customFormat="false" ht="15" hidden="false" customHeight="false" outlineLevel="0" collapsed="false">
      <c r="A851" s="22" t="n">
        <v>46576</v>
      </c>
      <c r="B851" s="23" t="str">
        <f aca="false">IFERROR(INDEX(Sprint!$A$2:$A$11,MATCH(A851,Sprint!$B$2:$B$11,1)),"")</f>
        <v>S8</v>
      </c>
      <c r="C851" s="6" t="s">
        <v>44</v>
      </c>
      <c r="D851" s="6" t="s">
        <v>296</v>
      </c>
      <c r="E851" s="7" t="n">
        <v>1</v>
      </c>
      <c r="F851" s="6"/>
    </row>
    <row r="852" customFormat="false" ht="15" hidden="false" customHeight="false" outlineLevel="0" collapsed="false">
      <c r="A852" s="22" t="n">
        <v>46577</v>
      </c>
      <c r="B852" s="23" t="str">
        <f aca="false">IFERROR(INDEX(Sprint!$A$2:$A$11,MATCH(A852,Sprint!$B$2:$B$11,1)),"")</f>
        <v>S8</v>
      </c>
      <c r="C852" s="6" t="s">
        <v>56</v>
      </c>
      <c r="D852" s="6" t="s">
        <v>296</v>
      </c>
      <c r="E852" s="7" t="n">
        <v>1</v>
      </c>
      <c r="F852" s="6"/>
    </row>
    <row r="853" customFormat="false" ht="15" hidden="false" customHeight="false" outlineLevel="0" collapsed="false">
      <c r="A853" s="22" t="n">
        <v>46577</v>
      </c>
      <c r="B853" s="23" t="str">
        <f aca="false">IFERROR(INDEX(Sprint!$A$2:$A$11,MATCH(A853,Sprint!$B$2:$B$11,1)),"")</f>
        <v>S8</v>
      </c>
      <c r="C853" s="6" t="s">
        <v>58</v>
      </c>
      <c r="D853" s="6" t="s">
        <v>296</v>
      </c>
      <c r="E853" s="7" t="n">
        <v>1</v>
      </c>
      <c r="F853" s="6"/>
    </row>
    <row r="854" customFormat="false" ht="15" hidden="false" customHeight="false" outlineLevel="0" collapsed="false">
      <c r="A854" s="22" t="n">
        <v>46577</v>
      </c>
      <c r="B854" s="23" t="str">
        <f aca="false">IFERROR(INDEX(Sprint!$A$2:$A$11,MATCH(A854,Sprint!$B$2:$B$11,1)),"")</f>
        <v>S8</v>
      </c>
      <c r="C854" s="6" t="s">
        <v>60</v>
      </c>
      <c r="D854" s="6" t="s">
        <v>298</v>
      </c>
      <c r="E854" s="7" t="n">
        <v>1</v>
      </c>
      <c r="F854" s="6"/>
    </row>
    <row r="855" customFormat="false" ht="15" hidden="false" customHeight="false" outlineLevel="0" collapsed="false">
      <c r="A855" s="22" t="n">
        <v>46577</v>
      </c>
      <c r="B855" s="23" t="str">
        <f aca="false">IFERROR(INDEX(Sprint!$A$2:$A$11,MATCH(A855,Sprint!$B$2:$B$11,1)),"")</f>
        <v>S8</v>
      </c>
      <c r="C855" s="6" t="s">
        <v>67</v>
      </c>
      <c r="D855" s="6" t="s">
        <v>298</v>
      </c>
      <c r="E855" s="7" t="n">
        <v>1</v>
      </c>
      <c r="F855" s="6"/>
    </row>
    <row r="856" customFormat="false" ht="15" hidden="false" customHeight="false" outlineLevel="0" collapsed="false">
      <c r="A856" s="22" t="n">
        <v>46577</v>
      </c>
      <c r="B856" s="23" t="str">
        <f aca="false">IFERROR(INDEX(Sprint!$A$2:$A$11,MATCH(A856,Sprint!$B$2:$B$11,1)),"")</f>
        <v>S8</v>
      </c>
      <c r="C856" s="6" t="s">
        <v>52</v>
      </c>
      <c r="D856" s="6" t="s">
        <v>295</v>
      </c>
      <c r="E856" s="7" t="n">
        <v>0.75</v>
      </c>
      <c r="F856" s="6"/>
    </row>
    <row r="857" customFormat="false" ht="15" hidden="false" customHeight="false" outlineLevel="0" collapsed="false">
      <c r="A857" s="22" t="n">
        <v>46577</v>
      </c>
      <c r="B857" s="23" t="str">
        <f aca="false">IFERROR(INDEX(Sprint!$A$2:$A$11,MATCH(A857,Sprint!$B$2:$B$11,1)),"")</f>
        <v>S8</v>
      </c>
      <c r="C857" s="6" t="s">
        <v>52</v>
      </c>
      <c r="D857" s="6" t="s">
        <v>299</v>
      </c>
      <c r="E857" s="7" t="n">
        <v>0.25</v>
      </c>
      <c r="F857" s="6"/>
    </row>
    <row r="858" customFormat="false" ht="15" hidden="false" customHeight="false" outlineLevel="0" collapsed="false">
      <c r="A858" s="22" t="n">
        <v>46577</v>
      </c>
      <c r="B858" s="23" t="str">
        <f aca="false">IFERROR(INDEX(Sprint!$A$2:$A$11,MATCH(A858,Sprint!$B$2:$B$11,1)),"")</f>
        <v>S8</v>
      </c>
      <c r="C858" s="6" t="s">
        <v>44</v>
      </c>
      <c r="D858" s="6" t="s">
        <v>296</v>
      </c>
      <c r="E858" s="7" t="n">
        <v>1</v>
      </c>
      <c r="F858" s="6"/>
    </row>
    <row r="859" customFormat="false" ht="15" hidden="false" customHeight="false" outlineLevel="0" collapsed="false">
      <c r="A859" s="22" t="n">
        <v>46580</v>
      </c>
      <c r="B859" s="23" t="str">
        <f aca="false">IFERROR(INDEX(Sprint!$A$2:$A$11,MATCH(A859,Sprint!$B$2:$B$11,1)),"")</f>
        <v>S8</v>
      </c>
      <c r="C859" s="6" t="s">
        <v>60</v>
      </c>
      <c r="D859" s="6" t="s">
        <v>297</v>
      </c>
      <c r="E859" s="7" t="n">
        <v>0.5</v>
      </c>
      <c r="F859" s="6"/>
    </row>
    <row r="860" customFormat="false" ht="15" hidden="false" customHeight="false" outlineLevel="0" collapsed="false">
      <c r="A860" s="22" t="n">
        <v>46580</v>
      </c>
      <c r="B860" s="23" t="str">
        <f aca="false">IFERROR(INDEX(Sprint!$A$2:$A$11,MATCH(A860,Sprint!$B$2:$B$11,1)),"")</f>
        <v>S8</v>
      </c>
      <c r="C860" s="6" t="s">
        <v>60</v>
      </c>
      <c r="D860" s="6" t="s">
        <v>298</v>
      </c>
      <c r="E860" s="7" t="n">
        <v>0.5</v>
      </c>
      <c r="F860" s="6"/>
    </row>
    <row r="861" customFormat="false" ht="15" hidden="false" customHeight="false" outlineLevel="0" collapsed="false">
      <c r="A861" s="22" t="n">
        <v>46580</v>
      </c>
      <c r="B861" s="23" t="str">
        <f aca="false">IFERROR(INDEX(Sprint!$A$2:$A$11,MATCH(A861,Sprint!$B$2:$B$11,1)),"")</f>
        <v>S8</v>
      </c>
      <c r="C861" s="6" t="s">
        <v>67</v>
      </c>
      <c r="D861" s="6" t="s">
        <v>298</v>
      </c>
      <c r="E861" s="7" t="n">
        <v>0.5</v>
      </c>
      <c r="F861" s="6"/>
    </row>
    <row r="862" customFormat="false" ht="15" hidden="false" customHeight="false" outlineLevel="0" collapsed="false">
      <c r="A862" s="22" t="n">
        <v>46580</v>
      </c>
      <c r="B862" s="23" t="str">
        <f aca="false">IFERROR(INDEX(Sprint!$A$2:$A$11,MATCH(A862,Sprint!$B$2:$B$11,1)),"")</f>
        <v>S8</v>
      </c>
      <c r="C862" s="6" t="s">
        <v>52</v>
      </c>
      <c r="D862" s="6" t="s">
        <v>299</v>
      </c>
      <c r="E862" s="7" t="n">
        <v>1</v>
      </c>
      <c r="F862" s="6"/>
    </row>
    <row r="863" customFormat="false" ht="15" hidden="false" customHeight="false" outlineLevel="0" collapsed="false">
      <c r="A863" s="22" t="n">
        <v>46580</v>
      </c>
      <c r="B863" s="23" t="str">
        <f aca="false">IFERROR(INDEX(Sprint!$A$2:$A$11,MATCH(A863,Sprint!$B$2:$B$11,1)),"")</f>
        <v>S8</v>
      </c>
      <c r="C863" s="6" t="s">
        <v>37</v>
      </c>
      <c r="D863" s="6" t="s">
        <v>157</v>
      </c>
      <c r="E863" s="7" t="n">
        <v>0.25</v>
      </c>
      <c r="F863" s="6"/>
    </row>
    <row r="864" customFormat="false" ht="15" hidden="false" customHeight="false" outlineLevel="0" collapsed="false">
      <c r="A864" s="22" t="n">
        <v>46580</v>
      </c>
      <c r="B864" s="23" t="str">
        <f aca="false">IFERROR(INDEX(Sprint!$A$2:$A$11,MATCH(A864,Sprint!$B$2:$B$11,1)),"")</f>
        <v>S8</v>
      </c>
      <c r="C864" s="6" t="s">
        <v>37</v>
      </c>
      <c r="D864" s="6" t="s">
        <v>168</v>
      </c>
      <c r="E864" s="7" t="n">
        <v>0.25</v>
      </c>
      <c r="F864" s="6"/>
    </row>
    <row r="865" customFormat="false" ht="15" hidden="false" customHeight="false" outlineLevel="0" collapsed="false">
      <c r="A865" s="22" t="n">
        <v>46580</v>
      </c>
      <c r="B865" s="23" t="str">
        <f aca="false">IFERROR(INDEX(Sprint!$A$2:$A$11,MATCH(A865,Sprint!$B$2:$B$11,1)),"")</f>
        <v>S8</v>
      </c>
      <c r="C865" s="6" t="s">
        <v>37</v>
      </c>
      <c r="D865" s="6" t="s">
        <v>185</v>
      </c>
      <c r="E865" s="7" t="n">
        <v>0.25</v>
      </c>
      <c r="F865" s="6"/>
    </row>
    <row r="866" customFormat="false" ht="15" hidden="false" customHeight="false" outlineLevel="0" collapsed="false">
      <c r="A866" s="22" t="n">
        <v>46580</v>
      </c>
      <c r="B866" s="23" t="str">
        <f aca="false">IFERROR(INDEX(Sprint!$A$2:$A$11,MATCH(A866,Sprint!$B$2:$B$11,1)),"")</f>
        <v>S8</v>
      </c>
      <c r="C866" s="6" t="s">
        <v>44</v>
      </c>
      <c r="D866" s="6" t="s">
        <v>296</v>
      </c>
      <c r="E866" s="7" t="n">
        <v>0.25</v>
      </c>
      <c r="F866" s="6"/>
    </row>
    <row r="867" customFormat="false" ht="15" hidden="false" customHeight="false" outlineLevel="0" collapsed="false">
      <c r="A867" s="22" t="n">
        <v>46581</v>
      </c>
      <c r="B867" s="23" t="str">
        <f aca="false">IFERROR(INDEX(Sprint!$A$2:$A$11,MATCH(A867,Sprint!$B$2:$B$11,1)),"")</f>
        <v>S8</v>
      </c>
      <c r="C867" s="6" t="s">
        <v>58</v>
      </c>
      <c r="D867" s="6" t="s">
        <v>300</v>
      </c>
      <c r="E867" s="7" t="n">
        <v>1</v>
      </c>
      <c r="F867" s="6"/>
    </row>
    <row r="868" customFormat="false" ht="15" hidden="false" customHeight="false" outlineLevel="0" collapsed="false">
      <c r="A868" s="22" t="n">
        <v>46581</v>
      </c>
      <c r="B868" s="23" t="str">
        <f aca="false">IFERROR(INDEX(Sprint!$A$2:$A$11,MATCH(A868,Sprint!$B$2:$B$11,1)),"")</f>
        <v>S8</v>
      </c>
      <c r="C868" s="6" t="s">
        <v>60</v>
      </c>
      <c r="D868" s="6" t="s">
        <v>297</v>
      </c>
      <c r="E868" s="7" t="n">
        <v>1</v>
      </c>
      <c r="F868" s="6"/>
    </row>
    <row r="869" customFormat="false" ht="15" hidden="false" customHeight="false" outlineLevel="0" collapsed="false">
      <c r="A869" s="22" t="n">
        <v>46581</v>
      </c>
      <c r="B869" s="23" t="str">
        <f aca="false">IFERROR(INDEX(Sprint!$A$2:$A$11,MATCH(A869,Sprint!$B$2:$B$11,1)),"")</f>
        <v>S8</v>
      </c>
      <c r="C869" s="6" t="s">
        <v>67</v>
      </c>
      <c r="D869" s="6" t="s">
        <v>301</v>
      </c>
      <c r="E869" s="7" t="n">
        <v>1</v>
      </c>
      <c r="F869" s="6"/>
    </row>
    <row r="870" customFormat="false" ht="15" hidden="false" customHeight="false" outlineLevel="0" collapsed="false">
      <c r="A870" s="22" t="n">
        <v>46581</v>
      </c>
      <c r="B870" s="23" t="str">
        <f aca="false">IFERROR(INDEX(Sprint!$A$2:$A$11,MATCH(A870,Sprint!$B$2:$B$11,1)),"")</f>
        <v>S8</v>
      </c>
      <c r="C870" s="6" t="s">
        <v>52</v>
      </c>
      <c r="D870" s="6" t="s">
        <v>299</v>
      </c>
      <c r="E870" s="7" t="n">
        <v>1</v>
      </c>
      <c r="F870" s="6"/>
    </row>
    <row r="871" customFormat="false" ht="15" hidden="false" customHeight="false" outlineLevel="0" collapsed="false">
      <c r="A871" s="22" t="n">
        <v>46581</v>
      </c>
      <c r="B871" s="23" t="str">
        <f aca="false">IFERROR(INDEX(Sprint!$A$2:$A$11,MATCH(A871,Sprint!$B$2:$B$11,1)),"")</f>
        <v>S8</v>
      </c>
      <c r="C871" s="6" t="s">
        <v>37</v>
      </c>
      <c r="D871" s="6" t="s">
        <v>245</v>
      </c>
      <c r="E871" s="7" t="n">
        <v>0.25</v>
      </c>
      <c r="F871" s="6"/>
    </row>
    <row r="872" customFormat="false" ht="15" hidden="false" customHeight="false" outlineLevel="0" collapsed="false">
      <c r="A872" s="22" t="n">
        <v>46581</v>
      </c>
      <c r="B872" s="23" t="str">
        <f aca="false">IFERROR(INDEX(Sprint!$A$2:$A$11,MATCH(A872,Sprint!$B$2:$B$11,1)),"")</f>
        <v>S8</v>
      </c>
      <c r="C872" s="6" t="s">
        <v>49</v>
      </c>
      <c r="D872" s="6" t="s">
        <v>302</v>
      </c>
      <c r="E872" s="7" t="n">
        <v>1</v>
      </c>
      <c r="F872" s="6"/>
    </row>
    <row r="873" customFormat="false" ht="15" hidden="false" customHeight="false" outlineLevel="0" collapsed="false">
      <c r="A873" s="22" t="n">
        <v>46582</v>
      </c>
      <c r="B873" s="23" t="str">
        <f aca="false">IFERROR(INDEX(Sprint!$A$2:$A$11,MATCH(A873,Sprint!$B$2:$B$11,1)),"")</f>
        <v>S8</v>
      </c>
      <c r="C873" s="6" t="s">
        <v>60</v>
      </c>
      <c r="D873" s="6" t="s">
        <v>297</v>
      </c>
      <c r="E873" s="7" t="n">
        <v>1</v>
      </c>
      <c r="F873" s="6"/>
    </row>
    <row r="874" customFormat="false" ht="15" hidden="false" customHeight="false" outlineLevel="0" collapsed="false">
      <c r="A874" s="22" t="n">
        <v>46582</v>
      </c>
      <c r="B874" s="23" t="str">
        <f aca="false">IFERROR(INDEX(Sprint!$A$2:$A$11,MATCH(A874,Sprint!$B$2:$B$11,1)),"")</f>
        <v>S8</v>
      </c>
      <c r="C874" s="6" t="s">
        <v>67</v>
      </c>
      <c r="D874" s="6" t="s">
        <v>301</v>
      </c>
      <c r="E874" s="7" t="n">
        <v>1</v>
      </c>
      <c r="F874" s="6"/>
    </row>
    <row r="875" customFormat="false" ht="15" hidden="false" customHeight="false" outlineLevel="0" collapsed="false">
      <c r="A875" s="22" t="n">
        <v>46582</v>
      </c>
      <c r="B875" s="23" t="str">
        <f aca="false">IFERROR(INDEX(Sprint!$A$2:$A$11,MATCH(A875,Sprint!$B$2:$B$11,1)),"")</f>
        <v>S8</v>
      </c>
      <c r="C875" s="6" t="s">
        <v>52</v>
      </c>
      <c r="D875" s="6" t="s">
        <v>299</v>
      </c>
      <c r="E875" s="7" t="n">
        <v>0.75</v>
      </c>
      <c r="F875" s="6"/>
    </row>
    <row r="876" customFormat="false" ht="15" hidden="false" customHeight="false" outlineLevel="0" collapsed="false">
      <c r="A876" s="22" t="n">
        <v>46582</v>
      </c>
      <c r="B876" s="23" t="str">
        <f aca="false">IFERROR(INDEX(Sprint!$A$2:$A$11,MATCH(A876,Sprint!$B$2:$B$11,1)),"")</f>
        <v>S8</v>
      </c>
      <c r="C876" s="6" t="s">
        <v>37</v>
      </c>
      <c r="D876" s="6" t="s">
        <v>150</v>
      </c>
      <c r="E876" s="7" t="n">
        <v>0.25</v>
      </c>
      <c r="F876" s="6"/>
    </row>
    <row r="877" customFormat="false" ht="15" hidden="false" customHeight="false" outlineLevel="0" collapsed="false">
      <c r="A877" s="22" t="n">
        <v>46582</v>
      </c>
      <c r="B877" s="23" t="str">
        <f aca="false">IFERROR(INDEX(Sprint!$A$2:$A$11,MATCH(A877,Sprint!$B$2:$B$11,1)),"")</f>
        <v>S8</v>
      </c>
      <c r="C877" s="6" t="s">
        <v>37</v>
      </c>
      <c r="D877" s="6" t="s">
        <v>155</v>
      </c>
      <c r="E877" s="7" t="n">
        <v>0.25</v>
      </c>
      <c r="F877" s="6"/>
    </row>
    <row r="878" customFormat="false" ht="15" hidden="false" customHeight="false" outlineLevel="0" collapsed="false">
      <c r="A878" s="22" t="n">
        <v>46582</v>
      </c>
      <c r="B878" s="23" t="str">
        <f aca="false">IFERROR(INDEX(Sprint!$A$2:$A$11,MATCH(A878,Sprint!$B$2:$B$11,1)),"")</f>
        <v>S8</v>
      </c>
      <c r="C878" s="6" t="s">
        <v>37</v>
      </c>
      <c r="D878" s="6" t="s">
        <v>159</v>
      </c>
      <c r="E878" s="7" t="n">
        <v>0.25</v>
      </c>
      <c r="F878" s="6"/>
    </row>
    <row r="879" customFormat="false" ht="15" hidden="false" customHeight="false" outlineLevel="0" collapsed="false">
      <c r="A879" s="22" t="n">
        <v>46582</v>
      </c>
      <c r="B879" s="23" t="str">
        <f aca="false">IFERROR(INDEX(Sprint!$A$2:$A$11,MATCH(A879,Sprint!$B$2:$B$11,1)),"")</f>
        <v>S8</v>
      </c>
      <c r="C879" s="6" t="s">
        <v>37</v>
      </c>
      <c r="D879" s="6" t="s">
        <v>175</v>
      </c>
      <c r="E879" s="7" t="n">
        <v>0.25</v>
      </c>
      <c r="F879" s="6"/>
    </row>
    <row r="880" customFormat="false" ht="15" hidden="false" customHeight="false" outlineLevel="0" collapsed="false">
      <c r="A880" s="22" t="n">
        <v>46582</v>
      </c>
      <c r="B880" s="23" t="str">
        <f aca="false">IFERROR(INDEX(Sprint!$A$2:$A$11,MATCH(A880,Sprint!$B$2:$B$11,1)),"")</f>
        <v>S8</v>
      </c>
      <c r="C880" s="6" t="s">
        <v>49</v>
      </c>
      <c r="D880" s="6" t="s">
        <v>302</v>
      </c>
      <c r="E880" s="7" t="n">
        <v>1</v>
      </c>
      <c r="F880" s="6"/>
    </row>
    <row r="881" customFormat="false" ht="15" hidden="false" customHeight="false" outlineLevel="0" collapsed="false">
      <c r="A881" s="22" t="n">
        <v>46583</v>
      </c>
      <c r="B881" s="23" t="str">
        <f aca="false">IFERROR(INDEX(Sprint!$A$2:$A$11,MATCH(A881,Sprint!$B$2:$B$11,1)),"")</f>
        <v>S8</v>
      </c>
      <c r="C881" s="6" t="s">
        <v>67</v>
      </c>
      <c r="D881" s="6" t="s">
        <v>301</v>
      </c>
      <c r="E881" s="7" t="n">
        <v>1</v>
      </c>
      <c r="F881" s="6"/>
    </row>
    <row r="882" customFormat="false" ht="15" hidden="false" customHeight="false" outlineLevel="0" collapsed="false">
      <c r="A882" s="22" t="n">
        <v>46584</v>
      </c>
      <c r="B882" s="23" t="str">
        <f aca="false">IFERROR(INDEX(Sprint!$A$2:$A$11,MATCH(A882,Sprint!$B$2:$B$11,1)),"")</f>
        <v>S9</v>
      </c>
      <c r="C882" s="6" t="s">
        <v>56</v>
      </c>
      <c r="D882" s="6" t="s">
        <v>303</v>
      </c>
      <c r="E882" s="7" t="n">
        <v>1</v>
      </c>
      <c r="F882" s="6"/>
    </row>
    <row r="883" customFormat="false" ht="15" hidden="false" customHeight="false" outlineLevel="0" collapsed="false">
      <c r="A883" s="22" t="n">
        <v>46584</v>
      </c>
      <c r="B883" s="23" t="str">
        <f aca="false">IFERROR(INDEX(Sprint!$A$2:$A$11,MATCH(A883,Sprint!$B$2:$B$11,1)),"")</f>
        <v>S9</v>
      </c>
      <c r="C883" s="6" t="s">
        <v>58</v>
      </c>
      <c r="D883" s="6" t="s">
        <v>304</v>
      </c>
      <c r="E883" s="7" t="n">
        <v>1</v>
      </c>
      <c r="F883" s="6"/>
    </row>
    <row r="884" customFormat="false" ht="15" hidden="false" customHeight="false" outlineLevel="0" collapsed="false">
      <c r="A884" s="22" t="n">
        <v>46584</v>
      </c>
      <c r="B884" s="23" t="str">
        <f aca="false">IFERROR(INDEX(Sprint!$A$2:$A$11,MATCH(A884,Sprint!$B$2:$B$11,1)),"")</f>
        <v>S9</v>
      </c>
      <c r="C884" s="6" t="s">
        <v>60</v>
      </c>
      <c r="D884" s="6" t="s">
        <v>297</v>
      </c>
      <c r="E884" s="7" t="n">
        <v>0.5</v>
      </c>
      <c r="F884" s="6"/>
    </row>
    <row r="885" customFormat="false" ht="15" hidden="false" customHeight="false" outlineLevel="0" collapsed="false">
      <c r="A885" s="22" t="n">
        <v>46584</v>
      </c>
      <c r="B885" s="23" t="str">
        <f aca="false">IFERROR(INDEX(Sprint!$A$2:$A$11,MATCH(A885,Sprint!$B$2:$B$11,1)),"")</f>
        <v>S9</v>
      </c>
      <c r="C885" s="6" t="s">
        <v>60</v>
      </c>
      <c r="D885" s="6" t="s">
        <v>305</v>
      </c>
      <c r="E885" s="7" t="n">
        <v>0.25</v>
      </c>
      <c r="F885" s="6"/>
    </row>
    <row r="886" customFormat="false" ht="15" hidden="false" customHeight="false" outlineLevel="0" collapsed="false">
      <c r="A886" s="22" t="n">
        <v>46584</v>
      </c>
      <c r="B886" s="23" t="str">
        <f aca="false">IFERROR(INDEX(Sprint!$A$2:$A$11,MATCH(A886,Sprint!$B$2:$B$11,1)),"")</f>
        <v>S9</v>
      </c>
      <c r="C886" s="6" t="s">
        <v>67</v>
      </c>
      <c r="D886" s="6" t="s">
        <v>301</v>
      </c>
      <c r="E886" s="7" t="n">
        <v>1</v>
      </c>
      <c r="F886" s="6"/>
    </row>
    <row r="887" customFormat="false" ht="15" hidden="false" customHeight="false" outlineLevel="0" collapsed="false">
      <c r="A887" s="22" t="n">
        <v>46584</v>
      </c>
      <c r="B887" s="23" t="str">
        <f aca="false">IFERROR(INDEX(Sprint!$A$2:$A$11,MATCH(A887,Sprint!$B$2:$B$11,1)),"")</f>
        <v>S9</v>
      </c>
      <c r="C887" s="6" t="s">
        <v>52</v>
      </c>
      <c r="D887" s="6" t="s">
        <v>306</v>
      </c>
      <c r="E887" s="7" t="n">
        <v>1</v>
      </c>
      <c r="F887" s="6"/>
    </row>
    <row r="888" customFormat="false" ht="15" hidden="false" customHeight="false" outlineLevel="0" collapsed="false">
      <c r="A888" s="22" t="n">
        <v>46584</v>
      </c>
      <c r="B888" s="23" t="str">
        <f aca="false">IFERROR(INDEX(Sprint!$A$2:$A$11,MATCH(A888,Sprint!$B$2:$B$11,1)),"")</f>
        <v>S9</v>
      </c>
      <c r="C888" s="6" t="s">
        <v>62</v>
      </c>
      <c r="D888" s="6" t="s">
        <v>307</v>
      </c>
      <c r="E888" s="7" t="n">
        <v>0.5</v>
      </c>
      <c r="F888" s="6"/>
    </row>
    <row r="889" customFormat="false" ht="15" hidden="false" customHeight="false" outlineLevel="0" collapsed="false">
      <c r="A889" s="22" t="n">
        <v>46584</v>
      </c>
      <c r="B889" s="23" t="str">
        <f aca="false">IFERROR(INDEX(Sprint!$A$2:$A$11,MATCH(A889,Sprint!$B$2:$B$11,1)),"")</f>
        <v>S9</v>
      </c>
      <c r="C889" s="6" t="s">
        <v>62</v>
      </c>
      <c r="D889" s="6" t="s">
        <v>305</v>
      </c>
      <c r="E889" s="7" t="n">
        <v>0.25</v>
      </c>
      <c r="F889" s="6"/>
    </row>
    <row r="890" customFormat="false" ht="15" hidden="false" customHeight="false" outlineLevel="0" collapsed="false">
      <c r="A890" s="22" t="n">
        <v>46584</v>
      </c>
      <c r="B890" s="23" t="str">
        <f aca="false">IFERROR(INDEX(Sprint!$A$2:$A$11,MATCH(A890,Sprint!$B$2:$B$11,1)),"")</f>
        <v>S9</v>
      </c>
      <c r="C890" s="6" t="s">
        <v>65</v>
      </c>
      <c r="D890" s="6" t="s">
        <v>308</v>
      </c>
      <c r="E890" s="7" t="n">
        <v>1</v>
      </c>
      <c r="F890" s="6"/>
    </row>
    <row r="891" customFormat="false" ht="15" hidden="false" customHeight="false" outlineLevel="0" collapsed="false">
      <c r="A891" s="22" t="n">
        <v>46584</v>
      </c>
      <c r="B891" s="23" t="str">
        <f aca="false">IFERROR(INDEX(Sprint!$A$2:$A$11,MATCH(A891,Sprint!$B$2:$B$11,1)),"")</f>
        <v>S9</v>
      </c>
      <c r="C891" s="6" t="s">
        <v>37</v>
      </c>
      <c r="D891" s="6" t="s">
        <v>158</v>
      </c>
      <c r="E891" s="7" t="n">
        <v>0.25</v>
      </c>
      <c r="F891" s="6"/>
    </row>
    <row r="892" customFormat="false" ht="15" hidden="false" customHeight="false" outlineLevel="0" collapsed="false">
      <c r="A892" s="22" t="n">
        <v>46584</v>
      </c>
      <c r="B892" s="23" t="str">
        <f aca="false">IFERROR(INDEX(Sprint!$A$2:$A$11,MATCH(A892,Sprint!$B$2:$B$11,1)),"")</f>
        <v>S9</v>
      </c>
      <c r="C892" s="6" t="s">
        <v>37</v>
      </c>
      <c r="D892" s="6" t="s">
        <v>165</v>
      </c>
      <c r="E892" s="7" t="n">
        <v>0.25</v>
      </c>
      <c r="F892" s="6"/>
    </row>
    <row r="893" customFormat="false" ht="15" hidden="false" customHeight="false" outlineLevel="0" collapsed="false">
      <c r="A893" s="22" t="n">
        <v>46584</v>
      </c>
      <c r="B893" s="23" t="str">
        <f aca="false">IFERROR(INDEX(Sprint!$A$2:$A$11,MATCH(A893,Sprint!$B$2:$B$11,1)),"")</f>
        <v>S9</v>
      </c>
      <c r="C893" s="6" t="s">
        <v>49</v>
      </c>
      <c r="D893" s="6" t="s">
        <v>309</v>
      </c>
      <c r="E893" s="7" t="n">
        <v>1</v>
      </c>
      <c r="F893" s="6"/>
    </row>
    <row r="894" customFormat="false" ht="15" hidden="false" customHeight="false" outlineLevel="0" collapsed="false">
      <c r="A894" s="22" t="n">
        <v>46584</v>
      </c>
      <c r="B894" s="23" t="str">
        <f aca="false">IFERROR(INDEX(Sprint!$A$2:$A$11,MATCH(A894,Sprint!$B$2:$B$11,1)),"")</f>
        <v>S9</v>
      </c>
      <c r="C894" s="6" t="s">
        <v>44</v>
      </c>
      <c r="D894" s="6" t="s">
        <v>310</v>
      </c>
      <c r="E894" s="7" t="n">
        <v>0.5</v>
      </c>
      <c r="F894" s="6"/>
    </row>
    <row r="895" customFormat="false" ht="15" hidden="false" customHeight="false" outlineLevel="0" collapsed="false">
      <c r="A895" s="22" t="n">
        <v>46584</v>
      </c>
      <c r="B895" s="23" t="str">
        <f aca="false">IFERROR(INDEX(Sprint!$A$2:$A$11,MATCH(A895,Sprint!$B$2:$B$11,1)),"")</f>
        <v>S9</v>
      </c>
      <c r="C895" s="6" t="s">
        <v>47</v>
      </c>
      <c r="D895" s="6" t="s">
        <v>311</v>
      </c>
      <c r="E895" s="7" t="n">
        <v>1</v>
      </c>
      <c r="F895" s="6"/>
    </row>
    <row r="896" customFormat="false" ht="15" hidden="false" customHeight="false" outlineLevel="0" collapsed="false">
      <c r="A896" s="22" t="n">
        <v>46584</v>
      </c>
      <c r="B896" s="23" t="str">
        <f aca="false">IFERROR(INDEX(Sprint!$A$2:$A$11,MATCH(A896,Sprint!$B$2:$B$11,1)),"")</f>
        <v>S9</v>
      </c>
      <c r="C896" s="6" t="s">
        <v>41</v>
      </c>
      <c r="D896" s="6" t="s">
        <v>312</v>
      </c>
      <c r="E896" s="7" t="n">
        <v>1</v>
      </c>
      <c r="F896" s="6"/>
    </row>
    <row r="897" customFormat="false" ht="15" hidden="false" customHeight="false" outlineLevel="0" collapsed="false">
      <c r="A897" s="22" t="n">
        <v>46587</v>
      </c>
      <c r="B897" s="23" t="str">
        <f aca="false">IFERROR(INDEX(Sprint!$A$2:$A$11,MATCH(A897,Sprint!$B$2:$B$11,1)),"")</f>
        <v>S9</v>
      </c>
      <c r="C897" s="6" t="s">
        <v>56</v>
      </c>
      <c r="D897" s="6" t="s">
        <v>303</v>
      </c>
      <c r="E897" s="7" t="n">
        <v>1</v>
      </c>
      <c r="F897" s="6"/>
    </row>
    <row r="898" customFormat="false" ht="15" hidden="false" customHeight="false" outlineLevel="0" collapsed="false">
      <c r="A898" s="22" t="n">
        <v>46587</v>
      </c>
      <c r="B898" s="23" t="str">
        <f aca="false">IFERROR(INDEX(Sprint!$A$2:$A$11,MATCH(A898,Sprint!$B$2:$B$11,1)),"")</f>
        <v>S9</v>
      </c>
      <c r="C898" s="6" t="s">
        <v>58</v>
      </c>
      <c r="D898" s="6" t="s">
        <v>304</v>
      </c>
      <c r="E898" s="7" t="n">
        <v>1</v>
      </c>
      <c r="F898" s="6"/>
    </row>
    <row r="899" customFormat="false" ht="15" hidden="false" customHeight="false" outlineLevel="0" collapsed="false">
      <c r="A899" s="22" t="n">
        <v>46587</v>
      </c>
      <c r="B899" s="23" t="str">
        <f aca="false">IFERROR(INDEX(Sprint!$A$2:$A$11,MATCH(A899,Sprint!$B$2:$B$11,1)),"")</f>
        <v>S9</v>
      </c>
      <c r="C899" s="6" t="s">
        <v>60</v>
      </c>
      <c r="D899" s="6" t="s">
        <v>305</v>
      </c>
      <c r="E899" s="7" t="n">
        <v>0.25</v>
      </c>
      <c r="F899" s="6"/>
    </row>
    <row r="900" customFormat="false" ht="15" hidden="false" customHeight="false" outlineLevel="0" collapsed="false">
      <c r="A900" s="22" t="n">
        <v>46587</v>
      </c>
      <c r="B900" s="23" t="str">
        <f aca="false">IFERROR(INDEX(Sprint!$A$2:$A$11,MATCH(A900,Sprint!$B$2:$B$11,1)),"")</f>
        <v>S9</v>
      </c>
      <c r="C900" s="6" t="s">
        <v>67</v>
      </c>
      <c r="D900" s="6" t="s">
        <v>313</v>
      </c>
      <c r="E900" s="7" t="n">
        <v>1</v>
      </c>
      <c r="F900" s="6"/>
    </row>
    <row r="901" customFormat="false" ht="15" hidden="false" customHeight="false" outlineLevel="0" collapsed="false">
      <c r="A901" s="22" t="n">
        <v>46587</v>
      </c>
      <c r="B901" s="23" t="str">
        <f aca="false">IFERROR(INDEX(Sprint!$A$2:$A$11,MATCH(A901,Sprint!$B$2:$B$11,1)),"")</f>
        <v>S9</v>
      </c>
      <c r="C901" s="6" t="s">
        <v>52</v>
      </c>
      <c r="D901" s="6" t="s">
        <v>306</v>
      </c>
      <c r="E901" s="7" t="n">
        <v>1</v>
      </c>
      <c r="F901" s="6"/>
    </row>
    <row r="902" customFormat="false" ht="15" hidden="false" customHeight="false" outlineLevel="0" collapsed="false">
      <c r="A902" s="22" t="n">
        <v>46587</v>
      </c>
      <c r="B902" s="23" t="str">
        <f aca="false">IFERROR(INDEX(Sprint!$A$2:$A$11,MATCH(A902,Sprint!$B$2:$B$11,1)),"")</f>
        <v>S9</v>
      </c>
      <c r="C902" s="6" t="s">
        <v>62</v>
      </c>
      <c r="D902" s="6" t="s">
        <v>307</v>
      </c>
      <c r="E902" s="7" t="n">
        <v>0.5</v>
      </c>
      <c r="F902" s="6"/>
    </row>
    <row r="903" customFormat="false" ht="15" hidden="false" customHeight="false" outlineLevel="0" collapsed="false">
      <c r="A903" s="22" t="n">
        <v>46587</v>
      </c>
      <c r="B903" s="23" t="str">
        <f aca="false">IFERROR(INDEX(Sprint!$A$2:$A$11,MATCH(A903,Sprint!$B$2:$B$11,1)),"")</f>
        <v>S9</v>
      </c>
      <c r="C903" s="6" t="s">
        <v>62</v>
      </c>
      <c r="D903" s="6" t="s">
        <v>305</v>
      </c>
      <c r="E903" s="7" t="n">
        <v>0.25</v>
      </c>
      <c r="F903" s="6"/>
    </row>
    <row r="904" customFormat="false" ht="15" hidden="false" customHeight="false" outlineLevel="0" collapsed="false">
      <c r="A904" s="22" t="n">
        <v>46587</v>
      </c>
      <c r="B904" s="23" t="str">
        <f aca="false">IFERROR(INDEX(Sprint!$A$2:$A$11,MATCH(A904,Sprint!$B$2:$B$11,1)),"")</f>
        <v>S9</v>
      </c>
      <c r="C904" s="6" t="s">
        <v>65</v>
      </c>
      <c r="D904" s="6" t="s">
        <v>308</v>
      </c>
      <c r="E904" s="7" t="n">
        <v>1</v>
      </c>
      <c r="F904" s="6"/>
    </row>
    <row r="905" customFormat="false" ht="15" hidden="false" customHeight="false" outlineLevel="0" collapsed="false">
      <c r="A905" s="22" t="n">
        <v>46587</v>
      </c>
      <c r="B905" s="23" t="str">
        <f aca="false">IFERROR(INDEX(Sprint!$A$2:$A$11,MATCH(A905,Sprint!$B$2:$B$11,1)),"")</f>
        <v>S9</v>
      </c>
      <c r="C905" s="6" t="s">
        <v>37</v>
      </c>
      <c r="D905" s="6" t="s">
        <v>245</v>
      </c>
      <c r="E905" s="7" t="n">
        <v>0.25</v>
      </c>
      <c r="F905" s="6"/>
    </row>
    <row r="906" customFormat="false" ht="15" hidden="false" customHeight="false" outlineLevel="0" collapsed="false">
      <c r="A906" s="22" t="n">
        <v>46587</v>
      </c>
      <c r="B906" s="23" t="str">
        <f aca="false">IFERROR(INDEX(Sprint!$A$2:$A$11,MATCH(A906,Sprint!$B$2:$B$11,1)),"")</f>
        <v>S9</v>
      </c>
      <c r="C906" s="6" t="s">
        <v>49</v>
      </c>
      <c r="D906" s="6" t="s">
        <v>309</v>
      </c>
      <c r="E906" s="7" t="n">
        <v>1</v>
      </c>
      <c r="F906" s="6"/>
    </row>
    <row r="907" customFormat="false" ht="15" hidden="false" customHeight="false" outlineLevel="0" collapsed="false">
      <c r="A907" s="22" t="n">
        <v>46587</v>
      </c>
      <c r="B907" s="23" t="str">
        <f aca="false">IFERROR(INDEX(Sprint!$A$2:$A$11,MATCH(A907,Sprint!$B$2:$B$11,1)),"")</f>
        <v>S9</v>
      </c>
      <c r="C907" s="6" t="s">
        <v>44</v>
      </c>
      <c r="D907" s="6" t="s">
        <v>310</v>
      </c>
      <c r="E907" s="7" t="n">
        <v>0.5</v>
      </c>
      <c r="F907" s="6"/>
    </row>
    <row r="908" customFormat="false" ht="15" hidden="false" customHeight="false" outlineLevel="0" collapsed="false">
      <c r="A908" s="22" t="n">
        <v>46587</v>
      </c>
      <c r="B908" s="23" t="str">
        <f aca="false">IFERROR(INDEX(Sprint!$A$2:$A$11,MATCH(A908,Sprint!$B$2:$B$11,1)),"")</f>
        <v>S9</v>
      </c>
      <c r="C908" s="6" t="s">
        <v>47</v>
      </c>
      <c r="D908" s="6" t="s">
        <v>311</v>
      </c>
      <c r="E908" s="7" t="n">
        <v>1</v>
      </c>
      <c r="F908" s="6"/>
    </row>
    <row r="909" customFormat="false" ht="15" hidden="false" customHeight="false" outlineLevel="0" collapsed="false">
      <c r="A909" s="22" t="n">
        <v>46587</v>
      </c>
      <c r="B909" s="23" t="str">
        <f aca="false">IFERROR(INDEX(Sprint!$A$2:$A$11,MATCH(A909,Sprint!$B$2:$B$11,1)),"")</f>
        <v>S9</v>
      </c>
      <c r="C909" s="6" t="s">
        <v>41</v>
      </c>
      <c r="D909" s="6" t="s">
        <v>312</v>
      </c>
      <c r="E909" s="7" t="n">
        <v>1</v>
      </c>
      <c r="F909" s="6"/>
    </row>
    <row r="910" customFormat="false" ht="15" hidden="false" customHeight="false" outlineLevel="0" collapsed="false">
      <c r="A910" s="22" t="n">
        <v>46588</v>
      </c>
      <c r="B910" s="23" t="str">
        <f aca="false">IFERROR(INDEX(Sprint!$A$2:$A$11,MATCH(A910,Sprint!$B$2:$B$11,1)),"")</f>
        <v>S9</v>
      </c>
      <c r="C910" s="6" t="s">
        <v>56</v>
      </c>
      <c r="D910" s="6" t="s">
        <v>303</v>
      </c>
      <c r="E910" s="7" t="n">
        <v>1</v>
      </c>
      <c r="F910" s="6"/>
    </row>
    <row r="911" customFormat="false" ht="15" hidden="false" customHeight="false" outlineLevel="0" collapsed="false">
      <c r="A911" s="22" t="n">
        <v>46588</v>
      </c>
      <c r="B911" s="23" t="str">
        <f aca="false">IFERROR(INDEX(Sprint!$A$2:$A$11,MATCH(A911,Sprint!$B$2:$B$11,1)),"")</f>
        <v>S9</v>
      </c>
      <c r="C911" s="6" t="s">
        <v>58</v>
      </c>
      <c r="D911" s="6" t="s">
        <v>304</v>
      </c>
      <c r="E911" s="7" t="n">
        <v>1</v>
      </c>
      <c r="F911" s="6"/>
    </row>
    <row r="912" customFormat="false" ht="15" hidden="false" customHeight="false" outlineLevel="0" collapsed="false">
      <c r="A912" s="22" t="n">
        <v>46588</v>
      </c>
      <c r="B912" s="23" t="str">
        <f aca="false">IFERROR(INDEX(Sprint!$A$2:$A$11,MATCH(A912,Sprint!$B$2:$B$11,1)),"")</f>
        <v>S9</v>
      </c>
      <c r="C912" s="6" t="s">
        <v>60</v>
      </c>
      <c r="D912" s="6" t="s">
        <v>305</v>
      </c>
      <c r="E912" s="7" t="n">
        <v>0.25</v>
      </c>
      <c r="F912" s="6"/>
    </row>
    <row r="913" customFormat="false" ht="15" hidden="false" customHeight="false" outlineLevel="0" collapsed="false">
      <c r="A913" s="22" t="n">
        <v>46588</v>
      </c>
      <c r="B913" s="23" t="str">
        <f aca="false">IFERROR(INDEX(Sprint!$A$2:$A$11,MATCH(A913,Sprint!$B$2:$B$11,1)),"")</f>
        <v>S9</v>
      </c>
      <c r="C913" s="6" t="s">
        <v>67</v>
      </c>
      <c r="D913" s="6" t="s">
        <v>313</v>
      </c>
      <c r="E913" s="7" t="n">
        <v>1</v>
      </c>
      <c r="F913" s="6"/>
    </row>
    <row r="914" customFormat="false" ht="15" hidden="false" customHeight="false" outlineLevel="0" collapsed="false">
      <c r="A914" s="22" t="n">
        <v>46588</v>
      </c>
      <c r="B914" s="23" t="str">
        <f aca="false">IFERROR(INDEX(Sprint!$A$2:$A$11,MATCH(A914,Sprint!$B$2:$B$11,1)),"")</f>
        <v>S9</v>
      </c>
      <c r="C914" s="6" t="s">
        <v>52</v>
      </c>
      <c r="D914" s="6" t="s">
        <v>306</v>
      </c>
      <c r="E914" s="7" t="n">
        <v>1</v>
      </c>
      <c r="F914" s="6"/>
    </row>
    <row r="915" customFormat="false" ht="15" hidden="false" customHeight="false" outlineLevel="0" collapsed="false">
      <c r="A915" s="22" t="n">
        <v>46588</v>
      </c>
      <c r="B915" s="23" t="str">
        <f aca="false">IFERROR(INDEX(Sprint!$A$2:$A$11,MATCH(A915,Sprint!$B$2:$B$11,1)),"")</f>
        <v>S9</v>
      </c>
      <c r="C915" s="6" t="s">
        <v>62</v>
      </c>
      <c r="D915" s="6" t="s">
        <v>307</v>
      </c>
      <c r="E915" s="7" t="n">
        <v>0.5</v>
      </c>
      <c r="F915" s="6"/>
    </row>
    <row r="916" customFormat="false" ht="15" hidden="false" customHeight="false" outlineLevel="0" collapsed="false">
      <c r="A916" s="22" t="n">
        <v>46588</v>
      </c>
      <c r="B916" s="23" t="str">
        <f aca="false">IFERROR(INDEX(Sprint!$A$2:$A$11,MATCH(A916,Sprint!$B$2:$B$11,1)),"")</f>
        <v>S9</v>
      </c>
      <c r="C916" s="6" t="s">
        <v>62</v>
      </c>
      <c r="D916" s="6" t="s">
        <v>305</v>
      </c>
      <c r="E916" s="7" t="n">
        <v>0.25</v>
      </c>
      <c r="F916" s="6"/>
    </row>
    <row r="917" customFormat="false" ht="15" hidden="false" customHeight="false" outlineLevel="0" collapsed="false">
      <c r="A917" s="22" t="n">
        <v>46588</v>
      </c>
      <c r="B917" s="23" t="str">
        <f aca="false">IFERROR(INDEX(Sprint!$A$2:$A$11,MATCH(A917,Sprint!$B$2:$B$11,1)),"")</f>
        <v>S9</v>
      </c>
      <c r="C917" s="6" t="s">
        <v>65</v>
      </c>
      <c r="D917" s="6" t="s">
        <v>308</v>
      </c>
      <c r="E917" s="7" t="n">
        <v>1</v>
      </c>
      <c r="F917" s="6"/>
    </row>
    <row r="918" customFormat="false" ht="15" hidden="false" customHeight="false" outlineLevel="0" collapsed="false">
      <c r="A918" s="22" t="n">
        <v>46588</v>
      </c>
      <c r="B918" s="23" t="str">
        <f aca="false">IFERROR(INDEX(Sprint!$A$2:$A$11,MATCH(A918,Sprint!$B$2:$B$11,1)),"")</f>
        <v>S9</v>
      </c>
      <c r="C918" s="6" t="s">
        <v>37</v>
      </c>
      <c r="D918" s="6" t="s">
        <v>151</v>
      </c>
      <c r="E918" s="7" t="n">
        <v>0.25</v>
      </c>
      <c r="F918" s="6"/>
    </row>
    <row r="919" customFormat="false" ht="15" hidden="false" customHeight="false" outlineLevel="0" collapsed="false">
      <c r="A919" s="22" t="n">
        <v>46588</v>
      </c>
      <c r="B919" s="23" t="str">
        <f aca="false">IFERROR(INDEX(Sprint!$A$2:$A$11,MATCH(A919,Sprint!$B$2:$B$11,1)),"")</f>
        <v>S9</v>
      </c>
      <c r="C919" s="6" t="s">
        <v>37</v>
      </c>
      <c r="D919" s="6" t="s">
        <v>154</v>
      </c>
      <c r="E919" s="7" t="n">
        <v>0.25</v>
      </c>
      <c r="F919" s="6"/>
    </row>
    <row r="920" customFormat="false" ht="15" hidden="false" customHeight="false" outlineLevel="0" collapsed="false">
      <c r="A920" s="22" t="n">
        <v>46588</v>
      </c>
      <c r="B920" s="23" t="str">
        <f aca="false">IFERROR(INDEX(Sprint!$A$2:$A$11,MATCH(A920,Sprint!$B$2:$B$11,1)),"")</f>
        <v>S9</v>
      </c>
      <c r="C920" s="6" t="s">
        <v>37</v>
      </c>
      <c r="D920" s="6" t="s">
        <v>156</v>
      </c>
      <c r="E920" s="7" t="n">
        <v>0.25</v>
      </c>
      <c r="F920" s="6"/>
    </row>
    <row r="921" customFormat="false" ht="15" hidden="false" customHeight="false" outlineLevel="0" collapsed="false">
      <c r="A921" s="22" t="n">
        <v>46588</v>
      </c>
      <c r="B921" s="23" t="str">
        <f aca="false">IFERROR(INDEX(Sprint!$A$2:$A$11,MATCH(A921,Sprint!$B$2:$B$11,1)),"")</f>
        <v>S9</v>
      </c>
      <c r="C921" s="6" t="s">
        <v>49</v>
      </c>
      <c r="D921" s="6" t="s">
        <v>309</v>
      </c>
      <c r="E921" s="7" t="n">
        <v>1</v>
      </c>
      <c r="F921" s="6"/>
    </row>
    <row r="922" customFormat="false" ht="15" hidden="false" customHeight="false" outlineLevel="0" collapsed="false">
      <c r="A922" s="22" t="n">
        <v>46588</v>
      </c>
      <c r="B922" s="23" t="str">
        <f aca="false">IFERROR(INDEX(Sprint!$A$2:$A$11,MATCH(A922,Sprint!$B$2:$B$11,1)),"")</f>
        <v>S9</v>
      </c>
      <c r="C922" s="6" t="s">
        <v>44</v>
      </c>
      <c r="D922" s="6" t="s">
        <v>310</v>
      </c>
      <c r="E922" s="7" t="n">
        <v>0.5</v>
      </c>
      <c r="F922" s="6"/>
    </row>
    <row r="923" customFormat="false" ht="15" hidden="false" customHeight="false" outlineLevel="0" collapsed="false">
      <c r="A923" s="22" t="n">
        <v>46588</v>
      </c>
      <c r="B923" s="23" t="str">
        <f aca="false">IFERROR(INDEX(Sprint!$A$2:$A$11,MATCH(A923,Sprint!$B$2:$B$11,1)),"")</f>
        <v>S9</v>
      </c>
      <c r="C923" s="6" t="s">
        <v>47</v>
      </c>
      <c r="D923" s="6" t="s">
        <v>311</v>
      </c>
      <c r="E923" s="7" t="n">
        <v>1</v>
      </c>
      <c r="F923" s="6"/>
    </row>
    <row r="924" customFormat="false" ht="15" hidden="false" customHeight="false" outlineLevel="0" collapsed="false">
      <c r="A924" s="22" t="n">
        <v>46588</v>
      </c>
      <c r="B924" s="23" t="str">
        <f aca="false">IFERROR(INDEX(Sprint!$A$2:$A$11,MATCH(A924,Sprint!$B$2:$B$11,1)),"")</f>
        <v>S9</v>
      </c>
      <c r="C924" s="6" t="s">
        <v>41</v>
      </c>
      <c r="D924" s="6" t="s">
        <v>312</v>
      </c>
      <c r="E924" s="7" t="n">
        <v>1</v>
      </c>
      <c r="F924" s="6"/>
    </row>
    <row r="925" customFormat="false" ht="15" hidden="false" customHeight="false" outlineLevel="0" collapsed="false">
      <c r="A925" s="22" t="n">
        <v>46589</v>
      </c>
      <c r="B925" s="23" t="str">
        <f aca="false">IFERROR(INDEX(Sprint!$A$2:$A$11,MATCH(A925,Sprint!$B$2:$B$11,1)),"")</f>
        <v>S9</v>
      </c>
      <c r="C925" s="6" t="s">
        <v>56</v>
      </c>
      <c r="D925" s="6" t="s">
        <v>303</v>
      </c>
      <c r="E925" s="7" t="n">
        <v>1</v>
      </c>
      <c r="F925" s="6"/>
    </row>
    <row r="926" customFormat="false" ht="15" hidden="false" customHeight="false" outlineLevel="0" collapsed="false">
      <c r="A926" s="22" t="n">
        <v>46589</v>
      </c>
      <c r="B926" s="23" t="str">
        <f aca="false">IFERROR(INDEX(Sprint!$A$2:$A$11,MATCH(A926,Sprint!$B$2:$B$11,1)),"")</f>
        <v>S9</v>
      </c>
      <c r="C926" s="6" t="s">
        <v>58</v>
      </c>
      <c r="D926" s="6" t="s">
        <v>304</v>
      </c>
      <c r="E926" s="7" t="n">
        <v>1</v>
      </c>
      <c r="F926" s="6"/>
    </row>
    <row r="927" customFormat="false" ht="15" hidden="false" customHeight="false" outlineLevel="0" collapsed="false">
      <c r="A927" s="22" t="n">
        <v>46589</v>
      </c>
      <c r="B927" s="23" t="str">
        <f aca="false">IFERROR(INDEX(Sprint!$A$2:$A$11,MATCH(A927,Sprint!$B$2:$B$11,1)),"")</f>
        <v>S9</v>
      </c>
      <c r="C927" s="6" t="s">
        <v>52</v>
      </c>
      <c r="D927" s="6" t="s">
        <v>306</v>
      </c>
      <c r="E927" s="7" t="n">
        <v>1</v>
      </c>
      <c r="F927" s="6"/>
    </row>
    <row r="928" customFormat="false" ht="15" hidden="false" customHeight="false" outlineLevel="0" collapsed="false">
      <c r="A928" s="22" t="n">
        <v>46589</v>
      </c>
      <c r="B928" s="23" t="str">
        <f aca="false">IFERROR(INDEX(Sprint!$A$2:$A$11,MATCH(A928,Sprint!$B$2:$B$11,1)),"")</f>
        <v>S9</v>
      </c>
      <c r="C928" s="6" t="s">
        <v>62</v>
      </c>
      <c r="D928" s="6" t="s">
        <v>307</v>
      </c>
      <c r="E928" s="7" t="n">
        <v>0.5</v>
      </c>
      <c r="F928" s="6"/>
    </row>
    <row r="929" customFormat="false" ht="15" hidden="false" customHeight="false" outlineLevel="0" collapsed="false">
      <c r="A929" s="22" t="n">
        <v>46589</v>
      </c>
      <c r="B929" s="23" t="str">
        <f aca="false">IFERROR(INDEX(Sprint!$A$2:$A$11,MATCH(A929,Sprint!$B$2:$B$11,1)),"")</f>
        <v>S9</v>
      </c>
      <c r="C929" s="6" t="s">
        <v>65</v>
      </c>
      <c r="D929" s="6" t="s">
        <v>308</v>
      </c>
      <c r="E929" s="7" t="n">
        <v>1</v>
      </c>
      <c r="F929" s="6"/>
    </row>
    <row r="930" customFormat="false" ht="15" hidden="false" customHeight="false" outlineLevel="0" collapsed="false">
      <c r="A930" s="22" t="n">
        <v>46589</v>
      </c>
      <c r="B930" s="23" t="str">
        <f aca="false">IFERROR(INDEX(Sprint!$A$2:$A$11,MATCH(A930,Sprint!$B$2:$B$11,1)),"")</f>
        <v>S9</v>
      </c>
      <c r="C930" s="6" t="s">
        <v>37</v>
      </c>
      <c r="D930" s="6" t="s">
        <v>157</v>
      </c>
      <c r="E930" s="7" t="n">
        <v>0.25</v>
      </c>
      <c r="F930" s="6"/>
    </row>
    <row r="931" customFormat="false" ht="15" hidden="false" customHeight="false" outlineLevel="0" collapsed="false">
      <c r="A931" s="22" t="n">
        <v>46589</v>
      </c>
      <c r="B931" s="23" t="str">
        <f aca="false">IFERROR(INDEX(Sprint!$A$2:$A$11,MATCH(A931,Sprint!$B$2:$B$11,1)),"")</f>
        <v>S9</v>
      </c>
      <c r="C931" s="6" t="s">
        <v>37</v>
      </c>
      <c r="D931" s="6" t="s">
        <v>168</v>
      </c>
      <c r="E931" s="7" t="n">
        <v>0.25</v>
      </c>
      <c r="F931" s="6"/>
    </row>
    <row r="932" customFormat="false" ht="15" hidden="false" customHeight="false" outlineLevel="0" collapsed="false">
      <c r="A932" s="22" t="n">
        <v>46589</v>
      </c>
      <c r="B932" s="23" t="str">
        <f aca="false">IFERROR(INDEX(Sprint!$A$2:$A$11,MATCH(A932,Sprint!$B$2:$B$11,1)),"")</f>
        <v>S9</v>
      </c>
      <c r="C932" s="6" t="s">
        <v>37</v>
      </c>
      <c r="D932" s="6" t="s">
        <v>185</v>
      </c>
      <c r="E932" s="7" t="n">
        <v>0.25</v>
      </c>
      <c r="F932" s="6"/>
    </row>
    <row r="933" customFormat="false" ht="15" hidden="false" customHeight="false" outlineLevel="0" collapsed="false">
      <c r="A933" s="22" t="n">
        <v>46589</v>
      </c>
      <c r="B933" s="23" t="str">
        <f aca="false">IFERROR(INDEX(Sprint!$A$2:$A$11,MATCH(A933,Sprint!$B$2:$B$11,1)),"")</f>
        <v>S9</v>
      </c>
      <c r="C933" s="6" t="s">
        <v>49</v>
      </c>
      <c r="D933" s="6" t="s">
        <v>309</v>
      </c>
      <c r="E933" s="7" t="n">
        <v>1</v>
      </c>
      <c r="F933" s="6"/>
    </row>
    <row r="934" customFormat="false" ht="15" hidden="false" customHeight="false" outlineLevel="0" collapsed="false">
      <c r="A934" s="22" t="n">
        <v>46589</v>
      </c>
      <c r="B934" s="23" t="str">
        <f aca="false">IFERROR(INDEX(Sprint!$A$2:$A$11,MATCH(A934,Sprint!$B$2:$B$11,1)),"")</f>
        <v>S9</v>
      </c>
      <c r="C934" s="6" t="s">
        <v>44</v>
      </c>
      <c r="D934" s="6" t="s">
        <v>310</v>
      </c>
      <c r="E934" s="7" t="n">
        <v>0.5</v>
      </c>
      <c r="F934" s="6"/>
    </row>
    <row r="935" customFormat="false" ht="15" hidden="false" customHeight="false" outlineLevel="0" collapsed="false">
      <c r="A935" s="22" t="n">
        <v>46589</v>
      </c>
      <c r="B935" s="23" t="str">
        <f aca="false">IFERROR(INDEX(Sprint!$A$2:$A$11,MATCH(A935,Sprint!$B$2:$B$11,1)),"")</f>
        <v>S9</v>
      </c>
      <c r="C935" s="6" t="s">
        <v>47</v>
      </c>
      <c r="D935" s="6" t="s">
        <v>311</v>
      </c>
      <c r="E935" s="7" t="n">
        <v>1</v>
      </c>
      <c r="F935" s="6"/>
    </row>
    <row r="936" customFormat="false" ht="15" hidden="false" customHeight="false" outlineLevel="0" collapsed="false">
      <c r="A936" s="22" t="n">
        <v>46589</v>
      </c>
      <c r="B936" s="23" t="str">
        <f aca="false">IFERROR(INDEX(Sprint!$A$2:$A$11,MATCH(A936,Sprint!$B$2:$B$11,1)),"")</f>
        <v>S9</v>
      </c>
      <c r="C936" s="6" t="s">
        <v>41</v>
      </c>
      <c r="D936" s="6" t="s">
        <v>312</v>
      </c>
      <c r="E936" s="7" t="n">
        <v>1</v>
      </c>
      <c r="F936" s="6"/>
    </row>
    <row r="937" customFormat="false" ht="15" hidden="false" customHeight="false" outlineLevel="0" collapsed="false">
      <c r="A937" s="22" t="n">
        <v>46590</v>
      </c>
      <c r="B937" s="23" t="str">
        <f aca="false">IFERROR(INDEX(Sprint!$A$2:$A$11,MATCH(A937,Sprint!$B$2:$B$11,1)),"")</f>
        <v>S9</v>
      </c>
      <c r="C937" s="6" t="s">
        <v>56</v>
      </c>
      <c r="D937" s="6" t="s">
        <v>303</v>
      </c>
      <c r="E937" s="7" t="n">
        <v>1</v>
      </c>
      <c r="F937" s="6"/>
    </row>
    <row r="938" customFormat="false" ht="15" hidden="false" customHeight="false" outlineLevel="0" collapsed="false">
      <c r="A938" s="22" t="n">
        <v>46590</v>
      </c>
      <c r="B938" s="23" t="str">
        <f aca="false">IFERROR(INDEX(Sprint!$A$2:$A$11,MATCH(A938,Sprint!$B$2:$B$11,1)),"")</f>
        <v>S9</v>
      </c>
      <c r="C938" s="6" t="s">
        <v>58</v>
      </c>
      <c r="D938" s="6" t="s">
        <v>304</v>
      </c>
      <c r="E938" s="7" t="n">
        <v>1</v>
      </c>
      <c r="F938" s="6"/>
    </row>
    <row r="939" customFormat="false" ht="15" hidden="false" customHeight="false" outlineLevel="0" collapsed="false">
      <c r="A939" s="22" t="n">
        <v>46590</v>
      </c>
      <c r="B939" s="23" t="str">
        <f aca="false">IFERROR(INDEX(Sprint!$A$2:$A$11,MATCH(A939,Sprint!$B$2:$B$11,1)),"")</f>
        <v>S9</v>
      </c>
      <c r="C939" s="6" t="s">
        <v>60</v>
      </c>
      <c r="D939" s="6" t="s">
        <v>305</v>
      </c>
      <c r="E939" s="7" t="n">
        <v>0.25</v>
      </c>
      <c r="F939" s="6"/>
    </row>
    <row r="940" customFormat="false" ht="15" hidden="false" customHeight="false" outlineLevel="0" collapsed="false">
      <c r="A940" s="22" t="n">
        <v>46590</v>
      </c>
      <c r="B940" s="23" t="str">
        <f aca="false">IFERROR(INDEX(Sprint!$A$2:$A$11,MATCH(A940,Sprint!$B$2:$B$11,1)),"")</f>
        <v>S9</v>
      </c>
      <c r="C940" s="6" t="s">
        <v>67</v>
      </c>
      <c r="D940" s="6" t="s">
        <v>314</v>
      </c>
      <c r="E940" s="7" t="n">
        <v>1</v>
      </c>
      <c r="F940" s="6"/>
    </row>
    <row r="941" customFormat="false" ht="15" hidden="false" customHeight="false" outlineLevel="0" collapsed="false">
      <c r="A941" s="22" t="n">
        <v>46590</v>
      </c>
      <c r="B941" s="23" t="str">
        <f aca="false">IFERROR(INDEX(Sprint!$A$2:$A$11,MATCH(A941,Sprint!$B$2:$B$11,1)),"")</f>
        <v>S9</v>
      </c>
      <c r="C941" s="6" t="s">
        <v>52</v>
      </c>
      <c r="D941" s="6" t="s">
        <v>306</v>
      </c>
      <c r="E941" s="7" t="n">
        <v>1</v>
      </c>
      <c r="F941" s="6"/>
    </row>
    <row r="942" customFormat="false" ht="15" hidden="false" customHeight="false" outlineLevel="0" collapsed="false">
      <c r="A942" s="22" t="n">
        <v>46590</v>
      </c>
      <c r="B942" s="23" t="str">
        <f aca="false">IFERROR(INDEX(Sprint!$A$2:$A$11,MATCH(A942,Sprint!$B$2:$B$11,1)),"")</f>
        <v>S9</v>
      </c>
      <c r="C942" s="6" t="s">
        <v>62</v>
      </c>
      <c r="D942" s="6" t="s">
        <v>307</v>
      </c>
      <c r="E942" s="7" t="n">
        <v>0.5</v>
      </c>
      <c r="F942" s="6"/>
    </row>
    <row r="943" customFormat="false" ht="15" hidden="false" customHeight="false" outlineLevel="0" collapsed="false">
      <c r="A943" s="22" t="n">
        <v>46590</v>
      </c>
      <c r="B943" s="23" t="str">
        <f aca="false">IFERROR(INDEX(Sprint!$A$2:$A$11,MATCH(A943,Sprint!$B$2:$B$11,1)),"")</f>
        <v>S9</v>
      </c>
      <c r="C943" s="6" t="s">
        <v>62</v>
      </c>
      <c r="D943" s="6" t="s">
        <v>305</v>
      </c>
      <c r="E943" s="7" t="n">
        <v>0.25</v>
      </c>
      <c r="F943" s="6"/>
    </row>
    <row r="944" customFormat="false" ht="15" hidden="false" customHeight="false" outlineLevel="0" collapsed="false">
      <c r="A944" s="22" t="n">
        <v>46590</v>
      </c>
      <c r="B944" s="23" t="str">
        <f aca="false">IFERROR(INDEX(Sprint!$A$2:$A$11,MATCH(A944,Sprint!$B$2:$B$11,1)),"")</f>
        <v>S9</v>
      </c>
      <c r="C944" s="6" t="s">
        <v>65</v>
      </c>
      <c r="D944" s="6" t="s">
        <v>308</v>
      </c>
      <c r="E944" s="7" t="n">
        <v>1</v>
      </c>
      <c r="F944" s="6"/>
    </row>
    <row r="945" customFormat="false" ht="15" hidden="false" customHeight="false" outlineLevel="0" collapsed="false">
      <c r="A945" s="22" t="n">
        <v>46590</v>
      </c>
      <c r="B945" s="23" t="str">
        <f aca="false">IFERROR(INDEX(Sprint!$A$2:$A$11,MATCH(A945,Sprint!$B$2:$B$11,1)),"")</f>
        <v>S9</v>
      </c>
      <c r="C945" s="6" t="s">
        <v>37</v>
      </c>
      <c r="D945" s="6" t="s">
        <v>150</v>
      </c>
      <c r="E945" s="7" t="n">
        <v>0.25</v>
      </c>
      <c r="F945" s="6"/>
    </row>
    <row r="946" customFormat="false" ht="15" hidden="false" customHeight="false" outlineLevel="0" collapsed="false">
      <c r="A946" s="22" t="n">
        <v>46590</v>
      </c>
      <c r="B946" s="23" t="str">
        <f aca="false">IFERROR(INDEX(Sprint!$A$2:$A$11,MATCH(A946,Sprint!$B$2:$B$11,1)),"")</f>
        <v>S9</v>
      </c>
      <c r="C946" s="6" t="s">
        <v>37</v>
      </c>
      <c r="D946" s="6" t="s">
        <v>155</v>
      </c>
      <c r="E946" s="7" t="n">
        <v>0.25</v>
      </c>
      <c r="F946" s="6"/>
    </row>
    <row r="947" customFormat="false" ht="15" hidden="false" customHeight="false" outlineLevel="0" collapsed="false">
      <c r="A947" s="22" t="n">
        <v>46590</v>
      </c>
      <c r="B947" s="23" t="str">
        <f aca="false">IFERROR(INDEX(Sprint!$A$2:$A$11,MATCH(A947,Sprint!$B$2:$B$11,1)),"")</f>
        <v>S9</v>
      </c>
      <c r="C947" s="6" t="s">
        <v>44</v>
      </c>
      <c r="D947" s="6" t="s">
        <v>310</v>
      </c>
      <c r="E947" s="7" t="n">
        <v>0.5</v>
      </c>
      <c r="F947" s="6"/>
    </row>
    <row r="948" customFormat="false" ht="15" hidden="false" customHeight="false" outlineLevel="0" collapsed="false">
      <c r="A948" s="22" t="n">
        <v>46590</v>
      </c>
      <c r="B948" s="23" t="str">
        <f aca="false">IFERROR(INDEX(Sprint!$A$2:$A$11,MATCH(A948,Sprint!$B$2:$B$11,1)),"")</f>
        <v>S9</v>
      </c>
      <c r="C948" s="6" t="s">
        <v>47</v>
      </c>
      <c r="D948" s="6" t="s">
        <v>311</v>
      </c>
      <c r="E948" s="7" t="n">
        <v>1</v>
      </c>
      <c r="F948" s="6"/>
    </row>
    <row r="949" customFormat="false" ht="15" hidden="false" customHeight="false" outlineLevel="0" collapsed="false">
      <c r="A949" s="22" t="n">
        <v>46590</v>
      </c>
      <c r="B949" s="23" t="str">
        <f aca="false">IFERROR(INDEX(Sprint!$A$2:$A$11,MATCH(A949,Sprint!$B$2:$B$11,1)),"")</f>
        <v>S9</v>
      </c>
      <c r="C949" s="6" t="s">
        <v>41</v>
      </c>
      <c r="D949" s="6" t="s">
        <v>312</v>
      </c>
      <c r="E949" s="7" t="n">
        <v>1</v>
      </c>
      <c r="F949" s="6"/>
    </row>
    <row r="950" customFormat="false" ht="15" hidden="false" customHeight="false" outlineLevel="0" collapsed="false">
      <c r="A950" s="22" t="n">
        <v>46591</v>
      </c>
      <c r="B950" s="23" t="str">
        <f aca="false">IFERROR(INDEX(Sprint!$A$2:$A$11,MATCH(A950,Sprint!$B$2:$B$11,1)),"")</f>
        <v>S9</v>
      </c>
      <c r="C950" s="6" t="s">
        <v>56</v>
      </c>
      <c r="D950" s="6" t="s">
        <v>303</v>
      </c>
      <c r="E950" s="7" t="n">
        <v>1</v>
      </c>
      <c r="F950" s="6"/>
    </row>
    <row r="951" customFormat="false" ht="15" hidden="false" customHeight="false" outlineLevel="0" collapsed="false">
      <c r="A951" s="22" t="n">
        <v>46591</v>
      </c>
      <c r="B951" s="23" t="str">
        <f aca="false">IFERROR(INDEX(Sprint!$A$2:$A$11,MATCH(A951,Sprint!$B$2:$B$11,1)),"")</f>
        <v>S9</v>
      </c>
      <c r="C951" s="6" t="s">
        <v>58</v>
      </c>
      <c r="D951" s="6" t="s">
        <v>304</v>
      </c>
      <c r="E951" s="7" t="n">
        <v>1</v>
      </c>
      <c r="F951" s="6"/>
    </row>
    <row r="952" customFormat="false" ht="15" hidden="false" customHeight="false" outlineLevel="0" collapsed="false">
      <c r="A952" s="22" t="n">
        <v>46591</v>
      </c>
      <c r="B952" s="23" t="str">
        <f aca="false">IFERROR(INDEX(Sprint!$A$2:$A$11,MATCH(A952,Sprint!$B$2:$B$11,1)),"")</f>
        <v>S9</v>
      </c>
      <c r="C952" s="6" t="s">
        <v>60</v>
      </c>
      <c r="D952" s="6" t="s">
        <v>305</v>
      </c>
      <c r="E952" s="7" t="n">
        <v>0.25</v>
      </c>
      <c r="F952" s="6"/>
    </row>
    <row r="953" customFormat="false" ht="15" hidden="false" customHeight="false" outlineLevel="0" collapsed="false">
      <c r="A953" s="22" t="n">
        <v>46591</v>
      </c>
      <c r="B953" s="23" t="str">
        <f aca="false">IFERROR(INDEX(Sprint!$A$2:$A$11,MATCH(A953,Sprint!$B$2:$B$11,1)),"")</f>
        <v>S9</v>
      </c>
      <c r="C953" s="6" t="s">
        <v>67</v>
      </c>
      <c r="D953" s="6" t="s">
        <v>314</v>
      </c>
      <c r="E953" s="7" t="n">
        <v>1</v>
      </c>
      <c r="F953" s="6"/>
    </row>
    <row r="954" customFormat="false" ht="15" hidden="false" customHeight="false" outlineLevel="0" collapsed="false">
      <c r="A954" s="22" t="n">
        <v>46591</v>
      </c>
      <c r="B954" s="23" t="str">
        <f aca="false">IFERROR(INDEX(Sprint!$A$2:$A$11,MATCH(A954,Sprint!$B$2:$B$11,1)),"")</f>
        <v>S9</v>
      </c>
      <c r="C954" s="6" t="s">
        <v>62</v>
      </c>
      <c r="D954" s="6" t="s">
        <v>307</v>
      </c>
      <c r="E954" s="7" t="n">
        <v>0.5</v>
      </c>
      <c r="F954" s="6"/>
    </row>
    <row r="955" customFormat="false" ht="15" hidden="false" customHeight="false" outlineLevel="0" collapsed="false">
      <c r="A955" s="22" t="n">
        <v>46591</v>
      </c>
      <c r="B955" s="23" t="str">
        <f aca="false">IFERROR(INDEX(Sprint!$A$2:$A$11,MATCH(A955,Sprint!$B$2:$B$11,1)),"")</f>
        <v>S9</v>
      </c>
      <c r="C955" s="6" t="s">
        <v>62</v>
      </c>
      <c r="D955" s="6" t="s">
        <v>305</v>
      </c>
      <c r="E955" s="7" t="n">
        <v>0.25</v>
      </c>
      <c r="F955" s="6"/>
    </row>
    <row r="956" customFormat="false" ht="15" hidden="false" customHeight="false" outlineLevel="0" collapsed="false">
      <c r="A956" s="22" t="n">
        <v>46591</v>
      </c>
      <c r="B956" s="23" t="str">
        <f aca="false">IFERROR(INDEX(Sprint!$A$2:$A$11,MATCH(A956,Sprint!$B$2:$B$11,1)),"")</f>
        <v>S9</v>
      </c>
      <c r="C956" s="6" t="s">
        <v>65</v>
      </c>
      <c r="D956" s="6" t="s">
        <v>308</v>
      </c>
      <c r="E956" s="7" t="n">
        <v>1</v>
      </c>
      <c r="F956" s="6"/>
    </row>
    <row r="957" customFormat="false" ht="15" hidden="false" customHeight="false" outlineLevel="0" collapsed="false">
      <c r="A957" s="22" t="n">
        <v>46591</v>
      </c>
      <c r="B957" s="23" t="str">
        <f aca="false">IFERROR(INDEX(Sprint!$A$2:$A$11,MATCH(A957,Sprint!$B$2:$B$11,1)),"")</f>
        <v>S9</v>
      </c>
      <c r="C957" s="6" t="s">
        <v>37</v>
      </c>
      <c r="D957" s="6" t="s">
        <v>245</v>
      </c>
      <c r="E957" s="7" t="n">
        <v>0.25</v>
      </c>
      <c r="F957" s="6"/>
    </row>
    <row r="958" customFormat="false" ht="15" hidden="false" customHeight="false" outlineLevel="0" collapsed="false">
      <c r="A958" s="22" t="n">
        <v>46591</v>
      </c>
      <c r="B958" s="23" t="str">
        <f aca="false">IFERROR(INDEX(Sprint!$A$2:$A$11,MATCH(A958,Sprint!$B$2:$B$11,1)),"")</f>
        <v>S9</v>
      </c>
      <c r="C958" s="6" t="s">
        <v>44</v>
      </c>
      <c r="D958" s="6" t="s">
        <v>310</v>
      </c>
      <c r="E958" s="7" t="n">
        <v>0.5</v>
      </c>
      <c r="F958" s="6"/>
    </row>
    <row r="959" customFormat="false" ht="15" hidden="false" customHeight="false" outlineLevel="0" collapsed="false">
      <c r="A959" s="22" t="n">
        <v>46591</v>
      </c>
      <c r="B959" s="23" t="str">
        <f aca="false">IFERROR(INDEX(Sprint!$A$2:$A$11,MATCH(A959,Sprint!$B$2:$B$11,1)),"")</f>
        <v>S9</v>
      </c>
      <c r="C959" s="6" t="s">
        <v>47</v>
      </c>
      <c r="D959" s="6" t="s">
        <v>311</v>
      </c>
      <c r="E959" s="7" t="n">
        <v>1</v>
      </c>
      <c r="F959" s="6"/>
    </row>
    <row r="960" customFormat="false" ht="15" hidden="false" customHeight="false" outlineLevel="0" collapsed="false">
      <c r="A960" s="22" t="n">
        <v>46594</v>
      </c>
      <c r="B960" s="23" t="str">
        <f aca="false">IFERROR(INDEX(Sprint!$A$2:$A$11,MATCH(A960,Sprint!$B$2:$B$11,1)),"")</f>
        <v>S9</v>
      </c>
      <c r="C960" s="6" t="s">
        <v>58</v>
      </c>
      <c r="D960" s="6" t="s">
        <v>304</v>
      </c>
      <c r="E960" s="7" t="n">
        <v>1</v>
      </c>
      <c r="F960" s="6"/>
    </row>
    <row r="961" customFormat="false" ht="15" hidden="false" customHeight="false" outlineLevel="0" collapsed="false">
      <c r="A961" s="22" t="n">
        <v>46594</v>
      </c>
      <c r="B961" s="23" t="str">
        <f aca="false">IFERROR(INDEX(Sprint!$A$2:$A$11,MATCH(A961,Sprint!$B$2:$B$11,1)),"")</f>
        <v>S9</v>
      </c>
      <c r="C961" s="6" t="s">
        <v>60</v>
      </c>
      <c r="D961" s="6" t="s">
        <v>305</v>
      </c>
      <c r="E961" s="7" t="n">
        <v>0.25</v>
      </c>
      <c r="F961" s="6"/>
    </row>
    <row r="962" customFormat="false" ht="15" hidden="false" customHeight="false" outlineLevel="0" collapsed="false">
      <c r="A962" s="22" t="n">
        <v>46594</v>
      </c>
      <c r="B962" s="23" t="str">
        <f aca="false">IFERROR(INDEX(Sprint!$A$2:$A$11,MATCH(A962,Sprint!$B$2:$B$11,1)),"")</f>
        <v>S9</v>
      </c>
      <c r="C962" s="6" t="s">
        <v>67</v>
      </c>
      <c r="D962" s="6" t="s">
        <v>314</v>
      </c>
      <c r="E962" s="7" t="n">
        <v>1</v>
      </c>
      <c r="F962" s="6"/>
    </row>
    <row r="963" customFormat="false" ht="15" hidden="false" customHeight="false" outlineLevel="0" collapsed="false">
      <c r="A963" s="22" t="n">
        <v>46594</v>
      </c>
      <c r="B963" s="23" t="str">
        <f aca="false">IFERROR(INDEX(Sprint!$A$2:$A$11,MATCH(A963,Sprint!$B$2:$B$11,1)),"")</f>
        <v>S9</v>
      </c>
      <c r="C963" s="6" t="s">
        <v>62</v>
      </c>
      <c r="D963" s="6" t="s">
        <v>307</v>
      </c>
      <c r="E963" s="7" t="n">
        <v>0.5</v>
      </c>
      <c r="F963" s="6"/>
    </row>
    <row r="964" customFormat="false" ht="15" hidden="false" customHeight="false" outlineLevel="0" collapsed="false">
      <c r="A964" s="22" t="n">
        <v>46594</v>
      </c>
      <c r="B964" s="23" t="str">
        <f aca="false">IFERROR(INDEX(Sprint!$A$2:$A$11,MATCH(A964,Sprint!$B$2:$B$11,1)),"")</f>
        <v>S9</v>
      </c>
      <c r="C964" s="6" t="s">
        <v>62</v>
      </c>
      <c r="D964" s="6" t="s">
        <v>305</v>
      </c>
      <c r="E964" s="7" t="n">
        <v>0.25</v>
      </c>
      <c r="F964" s="6"/>
    </row>
    <row r="965" customFormat="false" ht="15" hidden="false" customHeight="false" outlineLevel="0" collapsed="false">
      <c r="A965" s="22" t="n">
        <v>46594</v>
      </c>
      <c r="B965" s="23" t="str">
        <f aca="false">IFERROR(INDEX(Sprint!$A$2:$A$11,MATCH(A965,Sprint!$B$2:$B$11,1)),"")</f>
        <v>S9</v>
      </c>
      <c r="C965" s="6" t="s">
        <v>65</v>
      </c>
      <c r="D965" s="6" t="s">
        <v>308</v>
      </c>
      <c r="E965" s="7" t="n">
        <v>1</v>
      </c>
      <c r="F965" s="6"/>
    </row>
    <row r="966" customFormat="false" ht="15" hidden="false" customHeight="false" outlineLevel="0" collapsed="false">
      <c r="A966" s="22" t="n">
        <v>46594</v>
      </c>
      <c r="B966" s="23" t="str">
        <f aca="false">IFERROR(INDEX(Sprint!$A$2:$A$11,MATCH(A966,Sprint!$B$2:$B$11,1)),"")</f>
        <v>S9</v>
      </c>
      <c r="C966" s="6" t="s">
        <v>44</v>
      </c>
      <c r="D966" s="6" t="s">
        <v>310</v>
      </c>
      <c r="E966" s="7" t="n">
        <v>0.5</v>
      </c>
      <c r="F966" s="6"/>
    </row>
    <row r="967" customFormat="false" ht="15" hidden="false" customHeight="false" outlineLevel="0" collapsed="false">
      <c r="A967" s="22" t="n">
        <v>46594</v>
      </c>
      <c r="B967" s="23" t="str">
        <f aca="false">IFERROR(INDEX(Sprint!$A$2:$A$11,MATCH(A967,Sprint!$B$2:$B$11,1)),"")</f>
        <v>S9</v>
      </c>
      <c r="C967" s="6" t="s">
        <v>47</v>
      </c>
      <c r="D967" s="6" t="s">
        <v>311</v>
      </c>
      <c r="E967" s="7" t="n">
        <v>1</v>
      </c>
      <c r="F967" s="6"/>
    </row>
    <row r="968" customFormat="false" ht="15" hidden="false" customHeight="false" outlineLevel="0" collapsed="false">
      <c r="A968" s="22" t="n">
        <v>46595</v>
      </c>
      <c r="B968" s="23" t="str">
        <f aca="false">IFERROR(INDEX(Sprint!$A$2:$A$11,MATCH(A968,Sprint!$B$2:$B$11,1)),"")</f>
        <v>S9</v>
      </c>
      <c r="C968" s="6" t="s">
        <v>58</v>
      </c>
      <c r="D968" s="6" t="s">
        <v>304</v>
      </c>
      <c r="E968" s="7" t="n">
        <v>1</v>
      </c>
      <c r="F968" s="6"/>
    </row>
    <row r="969" customFormat="false" ht="15" hidden="false" customHeight="false" outlineLevel="0" collapsed="false">
      <c r="A969" s="22" t="n">
        <v>46595</v>
      </c>
      <c r="B969" s="23" t="str">
        <f aca="false">IFERROR(INDEX(Sprint!$A$2:$A$11,MATCH(A969,Sprint!$B$2:$B$11,1)),"")</f>
        <v>S9</v>
      </c>
      <c r="C969" s="6" t="s">
        <v>67</v>
      </c>
      <c r="D969" s="6" t="s">
        <v>314</v>
      </c>
      <c r="E969" s="7" t="n">
        <v>1</v>
      </c>
      <c r="F969" s="6"/>
    </row>
    <row r="970" customFormat="false" ht="15" hidden="false" customHeight="false" outlineLevel="0" collapsed="false">
      <c r="A970" s="22" t="n">
        <v>46595</v>
      </c>
      <c r="B970" s="23" t="str">
        <f aca="false">IFERROR(INDEX(Sprint!$A$2:$A$11,MATCH(A970,Sprint!$B$2:$B$11,1)),"")</f>
        <v>S9</v>
      </c>
      <c r="C970" s="6" t="s">
        <v>62</v>
      </c>
      <c r="D970" s="6" t="s">
        <v>307</v>
      </c>
      <c r="E970" s="7" t="n">
        <v>0.5</v>
      </c>
      <c r="F970" s="6"/>
    </row>
    <row r="971" customFormat="false" ht="15" hidden="false" customHeight="false" outlineLevel="0" collapsed="false">
      <c r="A971" s="22" t="n">
        <v>46595</v>
      </c>
      <c r="B971" s="23" t="str">
        <f aca="false">IFERROR(INDEX(Sprint!$A$2:$A$11,MATCH(A971,Sprint!$B$2:$B$11,1)),"")</f>
        <v>S9</v>
      </c>
      <c r="C971" s="6" t="s">
        <v>65</v>
      </c>
      <c r="D971" s="6" t="s">
        <v>308</v>
      </c>
      <c r="E971" s="7" t="n">
        <v>0.75</v>
      </c>
      <c r="F971" s="6"/>
    </row>
    <row r="972" customFormat="false" ht="15" hidden="false" customHeight="false" outlineLevel="0" collapsed="false">
      <c r="A972" s="22" t="n">
        <v>46595</v>
      </c>
      <c r="B972" s="23" t="str">
        <f aca="false">IFERROR(INDEX(Sprint!$A$2:$A$11,MATCH(A972,Sprint!$B$2:$B$11,1)),"")</f>
        <v>S9</v>
      </c>
      <c r="C972" s="6" t="s">
        <v>44</v>
      </c>
      <c r="D972" s="6" t="s">
        <v>310</v>
      </c>
      <c r="E972" s="7" t="n">
        <v>0.5</v>
      </c>
      <c r="F972" s="6"/>
    </row>
    <row r="973" customFormat="false" ht="15" hidden="false" customHeight="false" outlineLevel="0" collapsed="false">
      <c r="A973" s="22" t="n">
        <v>46595</v>
      </c>
      <c r="B973" s="23" t="str">
        <f aca="false">IFERROR(INDEX(Sprint!$A$2:$A$11,MATCH(A973,Sprint!$B$2:$B$11,1)),"")</f>
        <v>S9</v>
      </c>
      <c r="C973" s="6" t="s">
        <v>47</v>
      </c>
      <c r="D973" s="6" t="s">
        <v>311</v>
      </c>
      <c r="E973" s="7" t="n">
        <v>1</v>
      </c>
      <c r="F973" s="6"/>
    </row>
    <row r="974" customFormat="false" ht="15" hidden="false" customHeight="false" outlineLevel="0" collapsed="false">
      <c r="A974" s="22" t="n">
        <v>46596</v>
      </c>
      <c r="B974" s="23" t="str">
        <f aca="false">IFERROR(INDEX(Sprint!$A$2:$A$11,MATCH(A974,Sprint!$B$2:$B$11,1)),"")</f>
        <v>S9</v>
      </c>
      <c r="C974" s="6" t="s">
        <v>56</v>
      </c>
      <c r="D974" s="6" t="s">
        <v>315</v>
      </c>
      <c r="E974" s="7" t="n">
        <v>1</v>
      </c>
      <c r="F974" s="6"/>
    </row>
    <row r="975" customFormat="false" ht="15" hidden="false" customHeight="false" outlineLevel="0" collapsed="false">
      <c r="A975" s="22" t="n">
        <v>46596</v>
      </c>
      <c r="B975" s="23" t="str">
        <f aca="false">IFERROR(INDEX(Sprint!$A$2:$A$11,MATCH(A975,Sprint!$B$2:$B$11,1)),"")</f>
        <v>S9</v>
      </c>
      <c r="C975" s="6" t="s">
        <v>58</v>
      </c>
      <c r="D975" s="6" t="s">
        <v>315</v>
      </c>
      <c r="E975" s="7" t="n">
        <v>1</v>
      </c>
      <c r="F975" s="6"/>
    </row>
    <row r="976" customFormat="false" ht="15" hidden="false" customHeight="false" outlineLevel="0" collapsed="false">
      <c r="A976" s="22" t="n">
        <v>46596</v>
      </c>
      <c r="B976" s="23" t="str">
        <f aca="false">IFERROR(INDEX(Sprint!$A$2:$A$11,MATCH(A976,Sprint!$B$2:$B$11,1)),"")</f>
        <v>S9</v>
      </c>
      <c r="C976" s="6" t="s">
        <v>60</v>
      </c>
      <c r="D976" s="6" t="s">
        <v>316</v>
      </c>
      <c r="E976" s="7" t="n">
        <v>1</v>
      </c>
      <c r="F976" s="6"/>
    </row>
    <row r="977" customFormat="false" ht="15" hidden="false" customHeight="false" outlineLevel="0" collapsed="false">
      <c r="A977" s="22" t="n">
        <v>46596</v>
      </c>
      <c r="B977" s="23" t="str">
        <f aca="false">IFERROR(INDEX(Sprint!$A$2:$A$11,MATCH(A977,Sprint!$B$2:$B$11,1)),"")</f>
        <v>S9</v>
      </c>
      <c r="C977" s="6" t="s">
        <v>67</v>
      </c>
      <c r="D977" s="6" t="s">
        <v>316</v>
      </c>
      <c r="E977" s="7" t="n">
        <v>1</v>
      </c>
      <c r="F977" s="6"/>
    </row>
    <row r="978" customFormat="false" ht="15" hidden="false" customHeight="false" outlineLevel="0" collapsed="false">
      <c r="A978" s="22" t="n">
        <v>46596</v>
      </c>
      <c r="B978" s="23" t="str">
        <f aca="false">IFERROR(INDEX(Sprint!$A$2:$A$11,MATCH(A978,Sprint!$B$2:$B$11,1)),"")</f>
        <v>S9</v>
      </c>
      <c r="C978" s="6" t="s">
        <v>52</v>
      </c>
      <c r="D978" s="6" t="s">
        <v>317</v>
      </c>
      <c r="E978" s="7" t="n">
        <v>0.75</v>
      </c>
      <c r="F978" s="6"/>
    </row>
    <row r="979" customFormat="false" ht="15" hidden="false" customHeight="false" outlineLevel="0" collapsed="false">
      <c r="A979" s="22" t="n">
        <v>46596</v>
      </c>
      <c r="B979" s="23" t="str">
        <f aca="false">IFERROR(INDEX(Sprint!$A$2:$A$11,MATCH(A979,Sprint!$B$2:$B$11,1)),"")</f>
        <v>S9</v>
      </c>
      <c r="C979" s="6" t="s">
        <v>49</v>
      </c>
      <c r="D979" s="6" t="s">
        <v>317</v>
      </c>
      <c r="E979" s="7" t="n">
        <v>0.75</v>
      </c>
      <c r="F979" s="6"/>
    </row>
    <row r="980" customFormat="false" ht="15" hidden="false" customHeight="false" outlineLevel="0" collapsed="false">
      <c r="A980" s="22" t="n">
        <v>46597</v>
      </c>
      <c r="B980" s="23" t="str">
        <f aca="false">IFERROR(INDEX(Sprint!$A$2:$A$11,MATCH(A980,Sprint!$B$2:$B$11,1)),"")</f>
        <v>S9</v>
      </c>
      <c r="C980" s="6" t="s">
        <v>56</v>
      </c>
      <c r="D980" s="6" t="s">
        <v>315</v>
      </c>
      <c r="E980" s="7" t="n">
        <v>1</v>
      </c>
      <c r="F980" s="6"/>
    </row>
    <row r="981" customFormat="false" ht="15" hidden="false" customHeight="false" outlineLevel="0" collapsed="false">
      <c r="A981" s="22" t="n">
        <v>46597</v>
      </c>
      <c r="B981" s="23" t="str">
        <f aca="false">IFERROR(INDEX(Sprint!$A$2:$A$11,MATCH(A981,Sprint!$B$2:$B$11,1)),"")</f>
        <v>S9</v>
      </c>
      <c r="C981" s="6" t="s">
        <v>58</v>
      </c>
      <c r="D981" s="6" t="s">
        <v>315</v>
      </c>
      <c r="E981" s="7" t="n">
        <v>1</v>
      </c>
      <c r="F981" s="6"/>
    </row>
    <row r="982" customFormat="false" ht="15" hidden="false" customHeight="false" outlineLevel="0" collapsed="false">
      <c r="A982" s="22" t="n">
        <v>46597</v>
      </c>
      <c r="B982" s="23" t="str">
        <f aca="false">IFERROR(INDEX(Sprint!$A$2:$A$11,MATCH(A982,Sprint!$B$2:$B$11,1)),"")</f>
        <v>S9</v>
      </c>
      <c r="C982" s="6" t="s">
        <v>60</v>
      </c>
      <c r="D982" s="6" t="s">
        <v>318</v>
      </c>
      <c r="E982" s="7" t="n">
        <v>1</v>
      </c>
      <c r="F982" s="6"/>
    </row>
    <row r="983" customFormat="false" ht="15" hidden="false" customHeight="false" outlineLevel="0" collapsed="false">
      <c r="A983" s="22" t="n">
        <v>46597</v>
      </c>
      <c r="B983" s="23" t="str">
        <f aca="false">IFERROR(INDEX(Sprint!$A$2:$A$11,MATCH(A983,Sprint!$B$2:$B$11,1)),"")</f>
        <v>S9</v>
      </c>
      <c r="C983" s="6" t="s">
        <v>52</v>
      </c>
      <c r="D983" s="6" t="s">
        <v>317</v>
      </c>
      <c r="E983" s="7" t="n">
        <v>0.75</v>
      </c>
      <c r="F983" s="6"/>
    </row>
    <row r="984" customFormat="false" ht="15" hidden="false" customHeight="false" outlineLevel="0" collapsed="false">
      <c r="A984" s="22" t="n">
        <v>46597</v>
      </c>
      <c r="B984" s="23" t="str">
        <f aca="false">IFERROR(INDEX(Sprint!$A$2:$A$11,MATCH(A984,Sprint!$B$2:$B$11,1)),"")</f>
        <v>S9</v>
      </c>
      <c r="C984" s="6" t="s">
        <v>49</v>
      </c>
      <c r="D984" s="6" t="s">
        <v>317</v>
      </c>
      <c r="E984" s="7" t="n">
        <v>0.75</v>
      </c>
      <c r="F984" s="6"/>
    </row>
    <row r="985" customFormat="false" ht="15" hidden="false" customHeight="false" outlineLevel="0" collapsed="false">
      <c r="A985" s="22" t="n">
        <v>46597</v>
      </c>
      <c r="B985" s="23" t="str">
        <f aca="false">IFERROR(INDEX(Sprint!$A$2:$A$11,MATCH(A985,Sprint!$B$2:$B$11,1)),"")</f>
        <v>S9</v>
      </c>
      <c r="C985" s="6" t="s">
        <v>47</v>
      </c>
      <c r="D985" s="6" t="s">
        <v>318</v>
      </c>
      <c r="E985" s="7" t="n">
        <v>1</v>
      </c>
      <c r="F985" s="6"/>
    </row>
    <row r="986" customFormat="false" ht="15" hidden="false" customHeight="false" outlineLevel="0" collapsed="false">
      <c r="A986" s="22" t="n">
        <v>46598</v>
      </c>
      <c r="B986" s="23" t="str">
        <f aca="false">IFERROR(INDEX(Sprint!$A$2:$A$11,MATCH(A986,Sprint!$B$2:$B$11,1)),"")</f>
        <v>KT</v>
      </c>
      <c r="C986" s="6" t="s">
        <v>37</v>
      </c>
      <c r="D986" s="6" t="s">
        <v>319</v>
      </c>
      <c r="E986" s="7" t="n">
        <v>0.5</v>
      </c>
      <c r="F986" s="6"/>
    </row>
    <row r="987" customFormat="false" ht="15" hidden="false" customHeight="false" outlineLevel="0" collapsed="false">
      <c r="A987" s="22" t="n">
        <v>46601</v>
      </c>
      <c r="B987" s="23" t="str">
        <f aca="false">IFERROR(INDEX(Sprint!$A$2:$A$11,MATCH(A987,Sprint!$B$2:$B$11,1)),"")</f>
        <v>KT</v>
      </c>
      <c r="C987" s="6" t="s">
        <v>37</v>
      </c>
      <c r="D987" s="6" t="s">
        <v>319</v>
      </c>
      <c r="E987" s="7" t="n">
        <v>0.5</v>
      </c>
      <c r="F987" s="6"/>
    </row>
    <row r="988" customFormat="false" ht="15" hidden="false" customHeight="false" outlineLevel="0" collapsed="false">
      <c r="A988" s="22" t="n">
        <v>46602</v>
      </c>
      <c r="B988" s="23" t="str">
        <f aca="false">IFERROR(INDEX(Sprint!$A$2:$A$11,MATCH(A988,Sprint!$B$2:$B$11,1)),"")</f>
        <v>KT</v>
      </c>
      <c r="C988" s="6" t="s">
        <v>37</v>
      </c>
      <c r="D988" s="6" t="s">
        <v>319</v>
      </c>
      <c r="E988" s="7" t="n">
        <v>0.5</v>
      </c>
      <c r="F988" s="6"/>
    </row>
    <row r="989" customFormat="false" ht="15" hidden="false" customHeight="false" outlineLevel="0" collapsed="false">
      <c r="A989" s="22" t="n">
        <v>46603</v>
      </c>
      <c r="B989" s="23" t="str">
        <f aca="false">IFERROR(INDEX(Sprint!$A$2:$A$11,MATCH(A989,Sprint!$B$2:$B$11,1)),"")</f>
        <v>KT</v>
      </c>
      <c r="C989" s="6" t="s">
        <v>37</v>
      </c>
      <c r="D989" s="6" t="s">
        <v>319</v>
      </c>
      <c r="E989" s="7" t="n">
        <v>0.5</v>
      </c>
      <c r="F98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5" min="4" style="0" width="14"/>
  </cols>
  <sheetData>
    <row r="1" customFormat="false" ht="25" hidden="false" customHeight="false" outlineLevel="0" collapsed="false">
      <c r="A1" s="4" t="s">
        <v>19</v>
      </c>
      <c r="B1" s="4" t="s">
        <v>131</v>
      </c>
      <c r="C1" s="4" t="s">
        <v>320</v>
      </c>
      <c r="D1" s="4" t="s">
        <v>321</v>
      </c>
      <c r="E1" s="4" t="s">
        <v>322</v>
      </c>
    </row>
    <row r="2" customFormat="false" ht="15" hidden="false" customHeight="false" outlineLevel="0" collapsed="false">
      <c r="A2" s="6" t="s">
        <v>37</v>
      </c>
      <c r="B2" s="6" t="s">
        <v>134</v>
      </c>
      <c r="C2" s="9" t="n">
        <f aca="false">D2+E2</f>
        <v>10</v>
      </c>
      <c r="D2" s="7" t="n">
        <v>10</v>
      </c>
      <c r="E2" s="7" t="n">
        <v>0</v>
      </c>
    </row>
    <row r="3" customFormat="false" ht="15" hidden="false" customHeight="false" outlineLevel="0" collapsed="false">
      <c r="A3" s="6" t="s">
        <v>37</v>
      </c>
      <c r="B3" s="6" t="s">
        <v>135</v>
      </c>
      <c r="C3" s="9" t="n">
        <f aca="false">D3+E3</f>
        <v>10</v>
      </c>
      <c r="D3" s="7" t="n">
        <v>10</v>
      </c>
      <c r="E3" s="7" t="n">
        <v>0</v>
      </c>
    </row>
    <row r="4" customFormat="false" ht="15" hidden="false" customHeight="false" outlineLevel="0" collapsed="false">
      <c r="A4" s="6" t="s">
        <v>37</v>
      </c>
      <c r="B4" s="6" t="s">
        <v>136</v>
      </c>
      <c r="C4" s="9" t="n">
        <f aca="false">D4+E4</f>
        <v>13</v>
      </c>
      <c r="D4" s="7" t="n">
        <v>13</v>
      </c>
      <c r="E4" s="7" t="n">
        <v>0</v>
      </c>
    </row>
    <row r="5" customFormat="false" ht="15" hidden="false" customHeight="false" outlineLevel="0" collapsed="false">
      <c r="A5" s="6" t="s">
        <v>37</v>
      </c>
      <c r="B5" s="6" t="s">
        <v>137</v>
      </c>
      <c r="C5" s="9" t="n">
        <f aca="false">D5+E5</f>
        <v>10</v>
      </c>
      <c r="D5" s="7" t="n">
        <v>10</v>
      </c>
      <c r="E5" s="7" t="n">
        <v>0</v>
      </c>
    </row>
    <row r="6" customFormat="false" ht="15" hidden="false" customHeight="false" outlineLevel="0" collapsed="false">
      <c r="A6" s="6" t="s">
        <v>37</v>
      </c>
      <c r="B6" s="6" t="s">
        <v>138</v>
      </c>
      <c r="C6" s="9" t="n">
        <f aca="false">D6+E6</f>
        <v>10</v>
      </c>
      <c r="D6" s="7" t="n">
        <v>10</v>
      </c>
      <c r="E6" s="7" t="n">
        <v>0</v>
      </c>
    </row>
    <row r="7" customFormat="false" ht="15" hidden="false" customHeight="false" outlineLevel="0" collapsed="false">
      <c r="A7" s="6" t="s">
        <v>37</v>
      </c>
      <c r="B7" s="6" t="s">
        <v>139</v>
      </c>
      <c r="C7" s="9" t="n">
        <f aca="false">D7+E7</f>
        <v>10</v>
      </c>
      <c r="D7" s="7" t="n">
        <v>10</v>
      </c>
      <c r="E7" s="7" t="n">
        <v>0</v>
      </c>
    </row>
    <row r="8" customFormat="false" ht="15" hidden="false" customHeight="false" outlineLevel="0" collapsed="false">
      <c r="A8" s="6" t="s">
        <v>37</v>
      </c>
      <c r="B8" s="6" t="s">
        <v>140</v>
      </c>
      <c r="C8" s="9" t="n">
        <f aca="false">D8+E8</f>
        <v>7</v>
      </c>
      <c r="D8" s="7" t="n">
        <v>7</v>
      </c>
      <c r="E8" s="7" t="n">
        <v>0</v>
      </c>
    </row>
    <row r="9" customFormat="false" ht="15" hidden="false" customHeight="false" outlineLevel="0" collapsed="false">
      <c r="A9" s="6" t="s">
        <v>37</v>
      </c>
      <c r="B9" s="6" t="s">
        <v>141</v>
      </c>
      <c r="C9" s="9" t="n">
        <f aca="false">D9+E9</f>
        <v>8</v>
      </c>
      <c r="D9" s="7" t="n">
        <v>8</v>
      </c>
      <c r="E9" s="7" t="n">
        <v>0</v>
      </c>
    </row>
    <row r="10" customFormat="false" ht="15" hidden="false" customHeight="false" outlineLevel="0" collapsed="false">
      <c r="A10" s="6" t="s">
        <v>37</v>
      </c>
      <c r="B10" s="6" t="s">
        <v>142</v>
      </c>
      <c r="C10" s="9" t="n">
        <f aca="false">D10+E10</f>
        <v>6</v>
      </c>
      <c r="D10" s="7" t="n">
        <v>6</v>
      </c>
      <c r="E10" s="7" t="n">
        <v>0</v>
      </c>
    </row>
    <row r="11" customFormat="false" ht="15" hidden="false" customHeight="false" outlineLevel="0" collapsed="false">
      <c r="A11" s="6" t="s">
        <v>37</v>
      </c>
      <c r="B11" s="6" t="s">
        <v>143</v>
      </c>
      <c r="C11" s="9" t="n">
        <f aca="false">D11+E11</f>
        <v>2</v>
      </c>
      <c r="D11" s="7" t="n">
        <v>2</v>
      </c>
      <c r="E11" s="7" t="n">
        <v>0</v>
      </c>
    </row>
    <row r="12" customFormat="false" ht="15" hidden="false" customHeight="false" outlineLevel="0" collapsed="false">
      <c r="A12" s="6" t="s">
        <v>41</v>
      </c>
      <c r="B12" s="6" t="s">
        <v>134</v>
      </c>
      <c r="C12" s="9" t="n">
        <f aca="false">D12+E12</f>
        <v>10</v>
      </c>
      <c r="D12" s="7" t="n">
        <v>10</v>
      </c>
      <c r="E12" s="7" t="n">
        <v>0</v>
      </c>
    </row>
    <row r="13" customFormat="false" ht="15" hidden="false" customHeight="false" outlineLevel="0" collapsed="false">
      <c r="A13" s="6" t="s">
        <v>41</v>
      </c>
      <c r="B13" s="6" t="s">
        <v>135</v>
      </c>
      <c r="C13" s="9" t="n">
        <f aca="false">D13+E13</f>
        <v>10</v>
      </c>
      <c r="D13" s="7" t="n">
        <v>10</v>
      </c>
      <c r="E13" s="7" t="n">
        <v>0</v>
      </c>
    </row>
    <row r="14" customFormat="false" ht="15" hidden="false" customHeight="false" outlineLevel="0" collapsed="false">
      <c r="A14" s="6" t="s">
        <v>41</v>
      </c>
      <c r="B14" s="6" t="s">
        <v>136</v>
      </c>
      <c r="C14" s="9" t="n">
        <f aca="false">D14+E14</f>
        <v>13</v>
      </c>
      <c r="D14" s="7" t="n">
        <v>13</v>
      </c>
      <c r="E14" s="7" t="n">
        <v>0</v>
      </c>
    </row>
    <row r="15" customFormat="false" ht="15" hidden="false" customHeight="false" outlineLevel="0" collapsed="false">
      <c r="A15" s="6" t="s">
        <v>41</v>
      </c>
      <c r="B15" s="6" t="s">
        <v>137</v>
      </c>
      <c r="C15" s="9" t="n">
        <f aca="false">D15+E15</f>
        <v>10</v>
      </c>
      <c r="D15" s="7" t="n">
        <v>10</v>
      </c>
      <c r="E15" s="7" t="n">
        <v>0</v>
      </c>
    </row>
    <row r="16" customFormat="false" ht="15" hidden="false" customHeight="false" outlineLevel="0" collapsed="false">
      <c r="A16" s="6" t="s">
        <v>41</v>
      </c>
      <c r="B16" s="6" t="s">
        <v>138</v>
      </c>
      <c r="C16" s="9" t="n">
        <f aca="false">D16+E16</f>
        <v>10</v>
      </c>
      <c r="D16" s="7" t="n">
        <v>10</v>
      </c>
      <c r="E16" s="7" t="n">
        <v>0</v>
      </c>
    </row>
    <row r="17" customFormat="false" ht="15" hidden="false" customHeight="false" outlineLevel="0" collapsed="false">
      <c r="A17" s="6" t="s">
        <v>41</v>
      </c>
      <c r="B17" s="6" t="s">
        <v>139</v>
      </c>
      <c r="C17" s="9" t="n">
        <f aca="false">D17+E17</f>
        <v>10</v>
      </c>
      <c r="D17" s="7" t="n">
        <v>10</v>
      </c>
      <c r="E17" s="7" t="n">
        <v>0</v>
      </c>
    </row>
    <row r="18" customFormat="false" ht="15" hidden="false" customHeight="false" outlineLevel="0" collapsed="false">
      <c r="A18" s="6" t="s">
        <v>41</v>
      </c>
      <c r="B18" s="6" t="s">
        <v>141</v>
      </c>
      <c r="C18" s="9" t="n">
        <f aca="false">D18+E18</f>
        <v>1.5</v>
      </c>
      <c r="D18" s="7" t="n">
        <v>0</v>
      </c>
      <c r="E18" s="7" t="n">
        <v>1.5</v>
      </c>
    </row>
    <row r="19" customFormat="false" ht="15" hidden="false" customHeight="false" outlineLevel="0" collapsed="false">
      <c r="A19" s="6" t="s">
        <v>41</v>
      </c>
      <c r="B19" s="6" t="s">
        <v>142</v>
      </c>
      <c r="C19" s="9" t="n">
        <f aca="false">D19+E19</f>
        <v>6</v>
      </c>
      <c r="D19" s="7" t="n">
        <v>6</v>
      </c>
      <c r="E19" s="7" t="n">
        <v>0</v>
      </c>
    </row>
    <row r="20" customFormat="false" ht="15" hidden="false" customHeight="false" outlineLevel="0" collapsed="false">
      <c r="A20" s="6" t="s">
        <v>44</v>
      </c>
      <c r="B20" s="6" t="s">
        <v>134</v>
      </c>
      <c r="C20" s="9" t="n">
        <f aca="false">D20+E20</f>
        <v>10</v>
      </c>
      <c r="D20" s="7" t="n">
        <v>10</v>
      </c>
      <c r="E20" s="7" t="n">
        <v>0</v>
      </c>
    </row>
    <row r="21" customFormat="false" ht="15" hidden="false" customHeight="false" outlineLevel="0" collapsed="false">
      <c r="A21" s="6" t="s">
        <v>44</v>
      </c>
      <c r="B21" s="6" t="s">
        <v>135</v>
      </c>
      <c r="C21" s="9" t="n">
        <f aca="false">D21+E21</f>
        <v>10</v>
      </c>
      <c r="D21" s="7" t="n">
        <v>10</v>
      </c>
      <c r="E21" s="7" t="n">
        <v>0</v>
      </c>
    </row>
    <row r="22" customFormat="false" ht="15" hidden="false" customHeight="false" outlineLevel="0" collapsed="false">
      <c r="A22" s="6" t="s">
        <v>44</v>
      </c>
      <c r="B22" s="6" t="s">
        <v>136</v>
      </c>
      <c r="C22" s="9" t="n">
        <f aca="false">D22+E22</f>
        <v>13</v>
      </c>
      <c r="D22" s="7" t="n">
        <v>13</v>
      </c>
      <c r="E22" s="7" t="n">
        <v>0</v>
      </c>
    </row>
    <row r="23" customFormat="false" ht="15" hidden="false" customHeight="false" outlineLevel="0" collapsed="false">
      <c r="A23" s="6" t="s">
        <v>44</v>
      </c>
      <c r="B23" s="6" t="s">
        <v>137</v>
      </c>
      <c r="C23" s="9" t="n">
        <f aca="false">D23+E23</f>
        <v>10</v>
      </c>
      <c r="D23" s="7" t="n">
        <v>10</v>
      </c>
      <c r="E23" s="7" t="n">
        <v>0</v>
      </c>
    </row>
    <row r="24" customFormat="false" ht="15" hidden="false" customHeight="false" outlineLevel="0" collapsed="false">
      <c r="A24" s="6" t="s">
        <v>44</v>
      </c>
      <c r="B24" s="6" t="s">
        <v>138</v>
      </c>
      <c r="C24" s="9" t="n">
        <f aca="false">D24+E24</f>
        <v>10</v>
      </c>
      <c r="D24" s="7" t="n">
        <v>10</v>
      </c>
      <c r="E24" s="7" t="n">
        <v>0</v>
      </c>
    </row>
    <row r="25" customFormat="false" ht="15" hidden="false" customHeight="false" outlineLevel="0" collapsed="false">
      <c r="A25" s="6" t="s">
        <v>44</v>
      </c>
      <c r="B25" s="6" t="s">
        <v>139</v>
      </c>
      <c r="C25" s="9" t="n">
        <f aca="false">D25+E25</f>
        <v>10</v>
      </c>
      <c r="D25" s="7" t="n">
        <v>10</v>
      </c>
      <c r="E25" s="7" t="n">
        <v>0</v>
      </c>
    </row>
    <row r="26" customFormat="false" ht="15" hidden="false" customHeight="false" outlineLevel="0" collapsed="false">
      <c r="A26" s="6" t="s">
        <v>44</v>
      </c>
      <c r="B26" s="6" t="s">
        <v>141</v>
      </c>
      <c r="C26" s="9" t="n">
        <f aca="false">D26+E26</f>
        <v>4</v>
      </c>
      <c r="D26" s="7" t="n">
        <v>3</v>
      </c>
      <c r="E26" s="7" t="n">
        <v>1</v>
      </c>
    </row>
    <row r="27" customFormat="false" ht="15" hidden="false" customHeight="false" outlineLevel="0" collapsed="false">
      <c r="A27" s="6" t="s">
        <v>44</v>
      </c>
      <c r="B27" s="6" t="s">
        <v>142</v>
      </c>
      <c r="C27" s="9" t="n">
        <f aca="false">D27+E27</f>
        <v>5</v>
      </c>
      <c r="D27" s="7" t="n">
        <v>5</v>
      </c>
      <c r="E27" s="7" t="n">
        <v>0</v>
      </c>
    </row>
    <row r="28" customFormat="false" ht="15" hidden="false" customHeight="false" outlineLevel="0" collapsed="false">
      <c r="A28" s="6" t="s">
        <v>47</v>
      </c>
      <c r="B28" s="6" t="s">
        <v>134</v>
      </c>
      <c r="C28" s="9" t="n">
        <f aca="false">D28+E28</f>
        <v>10</v>
      </c>
      <c r="D28" s="7" t="n">
        <v>10</v>
      </c>
      <c r="E28" s="7" t="n">
        <v>0</v>
      </c>
    </row>
    <row r="29" customFormat="false" ht="15" hidden="false" customHeight="false" outlineLevel="0" collapsed="false">
      <c r="A29" s="6" t="s">
        <v>47</v>
      </c>
      <c r="B29" s="6" t="s">
        <v>135</v>
      </c>
      <c r="C29" s="9" t="n">
        <f aca="false">D29+E29</f>
        <v>10</v>
      </c>
      <c r="D29" s="7" t="n">
        <v>10</v>
      </c>
      <c r="E29" s="7" t="n">
        <v>0</v>
      </c>
    </row>
    <row r="30" customFormat="false" ht="15" hidden="false" customHeight="false" outlineLevel="0" collapsed="false">
      <c r="A30" s="6" t="s">
        <v>47</v>
      </c>
      <c r="B30" s="6" t="s">
        <v>136</v>
      </c>
      <c r="C30" s="9" t="n">
        <f aca="false">D30+E30</f>
        <v>13</v>
      </c>
      <c r="D30" s="7" t="n">
        <v>13</v>
      </c>
      <c r="E30" s="7" t="n">
        <v>0</v>
      </c>
    </row>
    <row r="31" customFormat="false" ht="15" hidden="false" customHeight="false" outlineLevel="0" collapsed="false">
      <c r="A31" s="6" t="s">
        <v>47</v>
      </c>
      <c r="B31" s="6" t="s">
        <v>137</v>
      </c>
      <c r="C31" s="9" t="n">
        <f aca="false">D31+E31</f>
        <v>10</v>
      </c>
      <c r="D31" s="7" t="n">
        <v>10</v>
      </c>
      <c r="E31" s="7" t="n">
        <v>0</v>
      </c>
    </row>
    <row r="32" customFormat="false" ht="15" hidden="false" customHeight="false" outlineLevel="0" collapsed="false">
      <c r="A32" s="6" t="s">
        <v>47</v>
      </c>
      <c r="B32" s="6" t="s">
        <v>138</v>
      </c>
      <c r="C32" s="9" t="n">
        <f aca="false">D32+E32</f>
        <v>10</v>
      </c>
      <c r="D32" s="7" t="n">
        <v>10</v>
      </c>
      <c r="E32" s="7" t="n">
        <v>0</v>
      </c>
    </row>
    <row r="33" customFormat="false" ht="15" hidden="false" customHeight="false" outlineLevel="0" collapsed="false">
      <c r="A33" s="6" t="s">
        <v>47</v>
      </c>
      <c r="B33" s="6" t="s">
        <v>139</v>
      </c>
      <c r="C33" s="9" t="n">
        <f aca="false">D33+E33</f>
        <v>10</v>
      </c>
      <c r="D33" s="7" t="n">
        <v>10</v>
      </c>
      <c r="E33" s="7" t="n">
        <v>0</v>
      </c>
    </row>
    <row r="34" customFormat="false" ht="15" hidden="false" customHeight="false" outlineLevel="0" collapsed="false">
      <c r="A34" s="6" t="s">
        <v>47</v>
      </c>
      <c r="B34" s="6" t="s">
        <v>140</v>
      </c>
      <c r="C34" s="9" t="n">
        <f aca="false">D34+E34</f>
        <v>3</v>
      </c>
      <c r="D34" s="7" t="n">
        <v>3</v>
      </c>
      <c r="E34" s="7" t="n">
        <v>0</v>
      </c>
    </row>
    <row r="35" customFormat="false" ht="15" hidden="false" customHeight="false" outlineLevel="0" collapsed="false">
      <c r="A35" s="6" t="s">
        <v>47</v>
      </c>
      <c r="B35" s="6" t="s">
        <v>142</v>
      </c>
      <c r="C35" s="9" t="n">
        <f aca="false">D35+E35</f>
        <v>10</v>
      </c>
      <c r="D35" s="7" t="n">
        <v>10</v>
      </c>
      <c r="E35" s="7" t="n">
        <v>0</v>
      </c>
    </row>
    <row r="36" customFormat="false" ht="15" hidden="false" customHeight="false" outlineLevel="0" collapsed="false">
      <c r="A36" s="6" t="s">
        <v>49</v>
      </c>
      <c r="B36" s="6" t="s">
        <v>134</v>
      </c>
      <c r="C36" s="9" t="n">
        <f aca="false">D36+E36</f>
        <v>10</v>
      </c>
      <c r="D36" s="7" t="n">
        <v>10</v>
      </c>
      <c r="E36" s="7" t="n">
        <v>0</v>
      </c>
    </row>
    <row r="37" customFormat="false" ht="15" hidden="false" customHeight="false" outlineLevel="0" collapsed="false">
      <c r="A37" s="6" t="s">
        <v>49</v>
      </c>
      <c r="B37" s="6" t="s">
        <v>135</v>
      </c>
      <c r="C37" s="9" t="n">
        <f aca="false">D37+E37</f>
        <v>10</v>
      </c>
      <c r="D37" s="7" t="n">
        <v>10</v>
      </c>
      <c r="E37" s="7" t="n">
        <v>0</v>
      </c>
    </row>
    <row r="38" customFormat="false" ht="15" hidden="false" customHeight="false" outlineLevel="0" collapsed="false">
      <c r="A38" s="6" t="s">
        <v>49</v>
      </c>
      <c r="B38" s="6" t="s">
        <v>136</v>
      </c>
      <c r="C38" s="9" t="n">
        <f aca="false">D38+E38</f>
        <v>13</v>
      </c>
      <c r="D38" s="7" t="n">
        <v>13</v>
      </c>
      <c r="E38" s="7" t="n">
        <v>0</v>
      </c>
    </row>
    <row r="39" customFormat="false" ht="15" hidden="false" customHeight="false" outlineLevel="0" collapsed="false">
      <c r="A39" s="6" t="s">
        <v>49</v>
      </c>
      <c r="B39" s="6" t="s">
        <v>137</v>
      </c>
      <c r="C39" s="9" t="n">
        <f aca="false">D39+E39</f>
        <v>10</v>
      </c>
      <c r="D39" s="7" t="n">
        <v>10</v>
      </c>
      <c r="E39" s="7" t="n">
        <v>0</v>
      </c>
    </row>
    <row r="40" customFormat="false" ht="15" hidden="false" customHeight="false" outlineLevel="0" collapsed="false">
      <c r="A40" s="6" t="s">
        <v>49</v>
      </c>
      <c r="B40" s="6" t="s">
        <v>138</v>
      </c>
      <c r="C40" s="9" t="n">
        <f aca="false">D40+E40</f>
        <v>10</v>
      </c>
      <c r="D40" s="7" t="n">
        <v>10</v>
      </c>
      <c r="E40" s="7" t="n">
        <v>0</v>
      </c>
    </row>
    <row r="41" customFormat="false" ht="15" hidden="false" customHeight="false" outlineLevel="0" collapsed="false">
      <c r="A41" s="6" t="s">
        <v>49</v>
      </c>
      <c r="B41" s="6" t="s">
        <v>139</v>
      </c>
      <c r="C41" s="9" t="n">
        <f aca="false">D41+E41</f>
        <v>10</v>
      </c>
      <c r="D41" s="7" t="n">
        <v>10</v>
      </c>
      <c r="E41" s="7" t="n">
        <v>0</v>
      </c>
    </row>
    <row r="42" customFormat="false" ht="15" hidden="false" customHeight="false" outlineLevel="0" collapsed="false">
      <c r="A42" s="6" t="s">
        <v>49</v>
      </c>
      <c r="B42" s="6" t="s">
        <v>140</v>
      </c>
      <c r="C42" s="9" t="n">
        <f aca="false">D42+E42</f>
        <v>8</v>
      </c>
      <c r="D42" s="7" t="n">
        <v>8</v>
      </c>
      <c r="E42" s="7" t="n">
        <v>0</v>
      </c>
    </row>
    <row r="43" customFormat="false" ht="15" hidden="false" customHeight="false" outlineLevel="0" collapsed="false">
      <c r="A43" s="6" t="s">
        <v>49</v>
      </c>
      <c r="B43" s="6" t="s">
        <v>141</v>
      </c>
      <c r="C43" s="9" t="n">
        <f aca="false">D43+E43</f>
        <v>6</v>
      </c>
      <c r="D43" s="7" t="n">
        <v>5</v>
      </c>
      <c r="E43" s="7" t="n">
        <v>1</v>
      </c>
    </row>
    <row r="44" customFormat="false" ht="15" hidden="false" customHeight="false" outlineLevel="0" collapsed="false">
      <c r="A44" s="6" t="s">
        <v>49</v>
      </c>
      <c r="B44" s="6" t="s">
        <v>142</v>
      </c>
      <c r="C44" s="9" t="n">
        <f aca="false">D44+E44</f>
        <v>7</v>
      </c>
      <c r="D44" s="7" t="n">
        <v>7</v>
      </c>
      <c r="E44" s="7" t="n">
        <v>0</v>
      </c>
    </row>
    <row r="45" customFormat="false" ht="15" hidden="false" customHeight="false" outlineLevel="0" collapsed="false">
      <c r="A45" s="6" t="s">
        <v>52</v>
      </c>
      <c r="B45" s="6" t="s">
        <v>134</v>
      </c>
      <c r="C45" s="9" t="n">
        <f aca="false">D45+E45</f>
        <v>10</v>
      </c>
      <c r="D45" s="7" t="n">
        <v>10</v>
      </c>
      <c r="E45" s="7" t="n">
        <v>0</v>
      </c>
    </row>
    <row r="46" customFormat="false" ht="15" hidden="false" customHeight="false" outlineLevel="0" collapsed="false">
      <c r="A46" s="6" t="s">
        <v>52</v>
      </c>
      <c r="B46" s="6" t="s">
        <v>135</v>
      </c>
      <c r="C46" s="9" t="n">
        <f aca="false">D46+E46</f>
        <v>10</v>
      </c>
      <c r="D46" s="7" t="n">
        <v>10</v>
      </c>
      <c r="E46" s="7" t="n">
        <v>0</v>
      </c>
    </row>
    <row r="47" customFormat="false" ht="15" hidden="false" customHeight="false" outlineLevel="0" collapsed="false">
      <c r="A47" s="6" t="s">
        <v>52</v>
      </c>
      <c r="B47" s="6" t="s">
        <v>136</v>
      </c>
      <c r="C47" s="9" t="n">
        <f aca="false">D47+E47</f>
        <v>13</v>
      </c>
      <c r="D47" s="7" t="n">
        <v>13</v>
      </c>
      <c r="E47" s="7" t="n">
        <v>0</v>
      </c>
    </row>
    <row r="48" customFormat="false" ht="15" hidden="false" customHeight="false" outlineLevel="0" collapsed="false">
      <c r="A48" s="6" t="s">
        <v>52</v>
      </c>
      <c r="B48" s="6" t="s">
        <v>137</v>
      </c>
      <c r="C48" s="9" t="n">
        <f aca="false">D48+E48</f>
        <v>10</v>
      </c>
      <c r="D48" s="7" t="n">
        <v>10</v>
      </c>
      <c r="E48" s="7" t="n">
        <v>0</v>
      </c>
    </row>
    <row r="49" customFormat="false" ht="15" hidden="false" customHeight="false" outlineLevel="0" collapsed="false">
      <c r="A49" s="6" t="s">
        <v>52</v>
      </c>
      <c r="B49" s="6" t="s">
        <v>138</v>
      </c>
      <c r="C49" s="9" t="n">
        <f aca="false">D49+E49</f>
        <v>10</v>
      </c>
      <c r="D49" s="7" t="n">
        <v>10</v>
      </c>
      <c r="E49" s="7" t="n">
        <v>0</v>
      </c>
    </row>
    <row r="50" customFormat="false" ht="15" hidden="false" customHeight="false" outlineLevel="0" collapsed="false">
      <c r="A50" s="6" t="s">
        <v>52</v>
      </c>
      <c r="B50" s="6" t="s">
        <v>139</v>
      </c>
      <c r="C50" s="9" t="n">
        <f aca="false">D50+E50</f>
        <v>10</v>
      </c>
      <c r="D50" s="7" t="n">
        <v>10</v>
      </c>
      <c r="E50" s="7" t="n">
        <v>0</v>
      </c>
    </row>
    <row r="51" customFormat="false" ht="15" hidden="false" customHeight="false" outlineLevel="0" collapsed="false">
      <c r="A51" s="6" t="s">
        <v>52</v>
      </c>
      <c r="B51" s="6" t="s">
        <v>141</v>
      </c>
      <c r="C51" s="9" t="n">
        <f aca="false">D51+E51</f>
        <v>9</v>
      </c>
      <c r="D51" s="7" t="n">
        <v>9</v>
      </c>
      <c r="E51" s="7" t="n">
        <v>0</v>
      </c>
    </row>
    <row r="52" customFormat="false" ht="15" hidden="false" customHeight="false" outlineLevel="0" collapsed="false">
      <c r="A52" s="6" t="s">
        <v>52</v>
      </c>
      <c r="B52" s="6" t="s">
        <v>142</v>
      </c>
      <c r="C52" s="9" t="n">
        <f aca="false">D52+E52</f>
        <v>8</v>
      </c>
      <c r="D52" s="7" t="n">
        <v>8</v>
      </c>
      <c r="E52" s="7" t="n">
        <v>0</v>
      </c>
    </row>
    <row r="53" customFormat="false" ht="15" hidden="false" customHeight="false" outlineLevel="0" collapsed="false">
      <c r="A53" s="6" t="s">
        <v>56</v>
      </c>
      <c r="B53" s="6" t="s">
        <v>134</v>
      </c>
      <c r="C53" s="9" t="n">
        <f aca="false">D53+E53</f>
        <v>10</v>
      </c>
      <c r="D53" s="7" t="n">
        <v>10</v>
      </c>
      <c r="E53" s="7" t="n">
        <v>0</v>
      </c>
    </row>
    <row r="54" customFormat="false" ht="15" hidden="false" customHeight="false" outlineLevel="0" collapsed="false">
      <c r="A54" s="6" t="s">
        <v>56</v>
      </c>
      <c r="B54" s="6" t="s">
        <v>135</v>
      </c>
      <c r="C54" s="9" t="n">
        <f aca="false">D54+E54</f>
        <v>10</v>
      </c>
      <c r="D54" s="7" t="n">
        <v>10</v>
      </c>
      <c r="E54" s="7" t="n">
        <v>0</v>
      </c>
    </row>
    <row r="55" customFormat="false" ht="15" hidden="false" customHeight="false" outlineLevel="0" collapsed="false">
      <c r="A55" s="6" t="s">
        <v>56</v>
      </c>
      <c r="B55" s="6" t="s">
        <v>136</v>
      </c>
      <c r="C55" s="9" t="n">
        <f aca="false">D55+E55</f>
        <v>13</v>
      </c>
      <c r="D55" s="7" t="n">
        <v>13</v>
      </c>
      <c r="E55" s="7" t="n">
        <v>0</v>
      </c>
    </row>
    <row r="56" customFormat="false" ht="15" hidden="false" customHeight="false" outlineLevel="0" collapsed="false">
      <c r="A56" s="6" t="s">
        <v>56</v>
      </c>
      <c r="B56" s="6" t="s">
        <v>137</v>
      </c>
      <c r="C56" s="9" t="n">
        <f aca="false">D56+E56</f>
        <v>10</v>
      </c>
      <c r="D56" s="7" t="n">
        <v>10</v>
      </c>
      <c r="E56" s="7" t="n">
        <v>0</v>
      </c>
    </row>
    <row r="57" customFormat="false" ht="15" hidden="false" customHeight="false" outlineLevel="0" collapsed="false">
      <c r="A57" s="6" t="s">
        <v>56</v>
      </c>
      <c r="B57" s="6" t="s">
        <v>138</v>
      </c>
      <c r="C57" s="9" t="n">
        <f aca="false">D57+E57</f>
        <v>10</v>
      </c>
      <c r="D57" s="7" t="n">
        <v>10</v>
      </c>
      <c r="E57" s="7" t="n">
        <v>0</v>
      </c>
    </row>
    <row r="58" customFormat="false" ht="15" hidden="false" customHeight="false" outlineLevel="0" collapsed="false">
      <c r="A58" s="6" t="s">
        <v>56</v>
      </c>
      <c r="B58" s="6" t="s">
        <v>139</v>
      </c>
      <c r="C58" s="9" t="n">
        <f aca="false">D58+E58</f>
        <v>10</v>
      </c>
      <c r="D58" s="7" t="n">
        <v>10</v>
      </c>
      <c r="E58" s="7" t="n">
        <v>0</v>
      </c>
    </row>
    <row r="59" customFormat="false" ht="15" hidden="false" customHeight="false" outlineLevel="0" collapsed="false">
      <c r="A59" s="6" t="s">
        <v>56</v>
      </c>
      <c r="B59" s="6" t="s">
        <v>140</v>
      </c>
      <c r="C59" s="9" t="n">
        <f aca="false">D59+E59</f>
        <v>10</v>
      </c>
      <c r="D59" s="7" t="n">
        <v>10</v>
      </c>
      <c r="E59" s="7" t="n">
        <v>0</v>
      </c>
    </row>
    <row r="60" customFormat="false" ht="15" hidden="false" customHeight="false" outlineLevel="0" collapsed="false">
      <c r="A60" s="6" t="s">
        <v>56</v>
      </c>
      <c r="B60" s="6" t="s">
        <v>141</v>
      </c>
      <c r="C60" s="9" t="n">
        <f aca="false">D60+E60</f>
        <v>4</v>
      </c>
      <c r="D60" s="7" t="n">
        <v>3</v>
      </c>
      <c r="E60" s="7" t="n">
        <v>1</v>
      </c>
    </row>
    <row r="61" customFormat="false" ht="15" hidden="false" customHeight="false" outlineLevel="0" collapsed="false">
      <c r="A61" s="6" t="s">
        <v>56</v>
      </c>
      <c r="B61" s="6" t="s">
        <v>142</v>
      </c>
      <c r="C61" s="9" t="n">
        <f aca="false">D61+E61</f>
        <v>9</v>
      </c>
      <c r="D61" s="7" t="n">
        <v>9</v>
      </c>
      <c r="E61" s="7" t="n">
        <v>0</v>
      </c>
    </row>
    <row r="62" customFormat="false" ht="15" hidden="false" customHeight="false" outlineLevel="0" collapsed="false">
      <c r="A62" s="6" t="s">
        <v>58</v>
      </c>
      <c r="B62" s="6" t="s">
        <v>135</v>
      </c>
      <c r="C62" s="9" t="n">
        <f aca="false">D62+E62</f>
        <v>10</v>
      </c>
      <c r="D62" s="7" t="n">
        <v>10</v>
      </c>
      <c r="E62" s="7" t="n">
        <v>0</v>
      </c>
    </row>
    <row r="63" customFormat="false" ht="15" hidden="false" customHeight="false" outlineLevel="0" collapsed="false">
      <c r="A63" s="6" t="s">
        <v>58</v>
      </c>
      <c r="B63" s="6" t="s">
        <v>136</v>
      </c>
      <c r="C63" s="9" t="n">
        <f aca="false">D63+E63</f>
        <v>13</v>
      </c>
      <c r="D63" s="7" t="n">
        <v>13</v>
      </c>
      <c r="E63" s="7" t="n">
        <v>0</v>
      </c>
    </row>
    <row r="64" customFormat="false" ht="15" hidden="false" customHeight="false" outlineLevel="0" collapsed="false">
      <c r="A64" s="6" t="s">
        <v>58</v>
      </c>
      <c r="B64" s="6" t="s">
        <v>137</v>
      </c>
      <c r="C64" s="9" t="n">
        <f aca="false">D64+E64</f>
        <v>10</v>
      </c>
      <c r="D64" s="7" t="n">
        <v>10</v>
      </c>
      <c r="E64" s="7" t="n">
        <v>0</v>
      </c>
    </row>
    <row r="65" customFormat="false" ht="15" hidden="false" customHeight="false" outlineLevel="0" collapsed="false">
      <c r="A65" s="6" t="s">
        <v>58</v>
      </c>
      <c r="B65" s="6" t="s">
        <v>138</v>
      </c>
      <c r="C65" s="9" t="n">
        <f aca="false">D65+E65</f>
        <v>10</v>
      </c>
      <c r="D65" s="7" t="n">
        <v>10</v>
      </c>
      <c r="E65" s="7" t="n">
        <v>0</v>
      </c>
    </row>
    <row r="66" customFormat="false" ht="15" hidden="false" customHeight="false" outlineLevel="0" collapsed="false">
      <c r="A66" s="6" t="s">
        <v>58</v>
      </c>
      <c r="B66" s="6" t="s">
        <v>139</v>
      </c>
      <c r="C66" s="9" t="n">
        <f aca="false">D66+E66</f>
        <v>10</v>
      </c>
      <c r="D66" s="7" t="n">
        <v>10</v>
      </c>
      <c r="E66" s="7" t="n">
        <v>0</v>
      </c>
    </row>
    <row r="67" customFormat="false" ht="15" hidden="false" customHeight="false" outlineLevel="0" collapsed="false">
      <c r="A67" s="6" t="s">
        <v>58</v>
      </c>
      <c r="B67" s="6" t="s">
        <v>140</v>
      </c>
      <c r="C67" s="9" t="n">
        <f aca="false">D67+E67</f>
        <v>10</v>
      </c>
      <c r="D67" s="7" t="n">
        <v>10</v>
      </c>
      <c r="E67" s="7" t="n">
        <v>0</v>
      </c>
    </row>
    <row r="68" customFormat="false" ht="15" hidden="false" customHeight="false" outlineLevel="0" collapsed="false">
      <c r="A68" s="6" t="s">
        <v>58</v>
      </c>
      <c r="B68" s="6" t="s">
        <v>141</v>
      </c>
      <c r="C68" s="9" t="n">
        <f aca="false">D68+E68</f>
        <v>5</v>
      </c>
      <c r="D68" s="7" t="n">
        <v>4</v>
      </c>
      <c r="E68" s="7" t="n">
        <v>1</v>
      </c>
    </row>
    <row r="69" customFormat="false" ht="15" hidden="false" customHeight="false" outlineLevel="0" collapsed="false">
      <c r="A69" s="6" t="s">
        <v>58</v>
      </c>
      <c r="B69" s="6" t="s">
        <v>142</v>
      </c>
      <c r="C69" s="9" t="n">
        <f aca="false">D69+E69</f>
        <v>10</v>
      </c>
      <c r="D69" s="7" t="n">
        <v>10</v>
      </c>
      <c r="E69" s="7" t="n">
        <v>0</v>
      </c>
    </row>
    <row r="70" customFormat="false" ht="15" hidden="false" customHeight="false" outlineLevel="0" collapsed="false">
      <c r="A70" s="6" t="s">
        <v>60</v>
      </c>
      <c r="B70" s="6" t="s">
        <v>134</v>
      </c>
      <c r="C70" s="9" t="n">
        <f aca="false">D70+E70</f>
        <v>10</v>
      </c>
      <c r="D70" s="7" t="n">
        <v>10</v>
      </c>
      <c r="E70" s="7" t="n">
        <v>0</v>
      </c>
    </row>
    <row r="71" customFormat="false" ht="15" hidden="false" customHeight="false" outlineLevel="0" collapsed="false">
      <c r="A71" s="6" t="s">
        <v>60</v>
      </c>
      <c r="B71" s="6" t="s">
        <v>135</v>
      </c>
      <c r="C71" s="9" t="n">
        <f aca="false">D71+E71</f>
        <v>10</v>
      </c>
      <c r="D71" s="7" t="n">
        <v>10</v>
      </c>
      <c r="E71" s="7" t="n">
        <v>0</v>
      </c>
    </row>
    <row r="72" customFormat="false" ht="15" hidden="false" customHeight="false" outlineLevel="0" collapsed="false">
      <c r="A72" s="6" t="s">
        <v>60</v>
      </c>
      <c r="B72" s="6" t="s">
        <v>136</v>
      </c>
      <c r="C72" s="9" t="n">
        <f aca="false">D72+E72</f>
        <v>13</v>
      </c>
      <c r="D72" s="7" t="n">
        <v>13</v>
      </c>
      <c r="E72" s="7" t="n">
        <v>0</v>
      </c>
    </row>
    <row r="73" customFormat="false" ht="15" hidden="false" customHeight="false" outlineLevel="0" collapsed="false">
      <c r="A73" s="6" t="s">
        <v>60</v>
      </c>
      <c r="B73" s="6" t="s">
        <v>137</v>
      </c>
      <c r="C73" s="9" t="n">
        <f aca="false">D73+E73</f>
        <v>10</v>
      </c>
      <c r="D73" s="7" t="n">
        <v>10</v>
      </c>
      <c r="E73" s="7" t="n">
        <v>0</v>
      </c>
    </row>
    <row r="74" customFormat="false" ht="15" hidden="false" customHeight="false" outlineLevel="0" collapsed="false">
      <c r="A74" s="6" t="s">
        <v>60</v>
      </c>
      <c r="B74" s="6" t="s">
        <v>138</v>
      </c>
      <c r="C74" s="9" t="n">
        <f aca="false">D74+E74</f>
        <v>10</v>
      </c>
      <c r="D74" s="7" t="n">
        <v>10</v>
      </c>
      <c r="E74" s="7" t="n">
        <v>0</v>
      </c>
    </row>
    <row r="75" customFormat="false" ht="15" hidden="false" customHeight="false" outlineLevel="0" collapsed="false">
      <c r="A75" s="6" t="s">
        <v>60</v>
      </c>
      <c r="B75" s="6" t="s">
        <v>139</v>
      </c>
      <c r="C75" s="9" t="n">
        <f aca="false">D75+E75</f>
        <v>10</v>
      </c>
      <c r="D75" s="7" t="n">
        <v>10</v>
      </c>
      <c r="E75" s="7" t="n">
        <v>0</v>
      </c>
    </row>
    <row r="76" customFormat="false" ht="15" hidden="false" customHeight="false" outlineLevel="0" collapsed="false">
      <c r="A76" s="6" t="s">
        <v>60</v>
      </c>
      <c r="B76" s="6" t="s">
        <v>140</v>
      </c>
      <c r="C76" s="9" t="n">
        <f aca="false">D76+E76</f>
        <v>10</v>
      </c>
      <c r="D76" s="7" t="n">
        <v>10</v>
      </c>
      <c r="E76" s="7" t="n">
        <v>0</v>
      </c>
    </row>
    <row r="77" customFormat="false" ht="15" hidden="false" customHeight="false" outlineLevel="0" collapsed="false">
      <c r="A77" s="6" t="s">
        <v>60</v>
      </c>
      <c r="B77" s="6" t="s">
        <v>141</v>
      </c>
      <c r="C77" s="9" t="n">
        <f aca="false">D77+E77</f>
        <v>8</v>
      </c>
      <c r="D77" s="7" t="n">
        <v>8</v>
      </c>
      <c r="E77" s="7" t="n">
        <v>0</v>
      </c>
    </row>
    <row r="78" customFormat="false" ht="15" hidden="false" customHeight="false" outlineLevel="0" collapsed="false">
      <c r="A78" s="6" t="s">
        <v>60</v>
      </c>
      <c r="B78" s="6" t="s">
        <v>142</v>
      </c>
      <c r="C78" s="9" t="n">
        <f aca="false">D78+E78</f>
        <v>5</v>
      </c>
      <c r="D78" s="7" t="n">
        <v>5</v>
      </c>
      <c r="E78" s="7" t="n">
        <v>0</v>
      </c>
    </row>
    <row r="79" customFormat="false" ht="15" hidden="false" customHeight="false" outlineLevel="0" collapsed="false">
      <c r="A79" s="6" t="s">
        <v>62</v>
      </c>
      <c r="B79" s="6" t="s">
        <v>135</v>
      </c>
      <c r="C79" s="9" t="n">
        <f aca="false">D79+E79</f>
        <v>10</v>
      </c>
      <c r="D79" s="7" t="n">
        <v>10</v>
      </c>
      <c r="E79" s="7" t="n">
        <v>0</v>
      </c>
    </row>
    <row r="80" customFormat="false" ht="15" hidden="false" customHeight="false" outlineLevel="0" collapsed="false">
      <c r="A80" s="6" t="s">
        <v>62</v>
      </c>
      <c r="B80" s="6" t="s">
        <v>136</v>
      </c>
      <c r="C80" s="9" t="n">
        <f aca="false">D80+E80</f>
        <v>13</v>
      </c>
      <c r="D80" s="7" t="n">
        <v>13</v>
      </c>
      <c r="E80" s="7" t="n">
        <v>0</v>
      </c>
    </row>
    <row r="81" customFormat="false" ht="15" hidden="false" customHeight="false" outlineLevel="0" collapsed="false">
      <c r="A81" s="6" t="s">
        <v>62</v>
      </c>
      <c r="B81" s="6" t="s">
        <v>137</v>
      </c>
      <c r="C81" s="9" t="n">
        <f aca="false">D81+E81</f>
        <v>10</v>
      </c>
      <c r="D81" s="7" t="n">
        <v>10</v>
      </c>
      <c r="E81" s="7" t="n">
        <v>0</v>
      </c>
    </row>
    <row r="82" customFormat="false" ht="15" hidden="false" customHeight="false" outlineLevel="0" collapsed="false">
      <c r="A82" s="6" t="s">
        <v>62</v>
      </c>
      <c r="B82" s="6" t="s">
        <v>138</v>
      </c>
      <c r="C82" s="9" t="n">
        <f aca="false">D82+E82</f>
        <v>10</v>
      </c>
      <c r="D82" s="7" t="n">
        <v>10</v>
      </c>
      <c r="E82" s="7" t="n">
        <v>0</v>
      </c>
    </row>
    <row r="83" customFormat="false" ht="15" hidden="false" customHeight="false" outlineLevel="0" collapsed="false">
      <c r="A83" s="6" t="s">
        <v>62</v>
      </c>
      <c r="B83" s="6" t="s">
        <v>139</v>
      </c>
      <c r="C83" s="9" t="n">
        <f aca="false">D83+E83</f>
        <v>10</v>
      </c>
      <c r="D83" s="7" t="n">
        <v>10</v>
      </c>
      <c r="E83" s="7" t="n">
        <v>0</v>
      </c>
    </row>
    <row r="84" customFormat="false" ht="15" hidden="false" customHeight="false" outlineLevel="0" collapsed="false">
      <c r="A84" s="6" t="s">
        <v>62</v>
      </c>
      <c r="B84" s="6" t="s">
        <v>140</v>
      </c>
      <c r="C84" s="9" t="n">
        <f aca="false">D84+E84</f>
        <v>8</v>
      </c>
      <c r="D84" s="7" t="n">
        <v>8</v>
      </c>
      <c r="E84" s="7" t="n">
        <v>0</v>
      </c>
    </row>
    <row r="85" customFormat="false" ht="15" hidden="false" customHeight="false" outlineLevel="0" collapsed="false">
      <c r="A85" s="6" t="s">
        <v>62</v>
      </c>
      <c r="B85" s="6" t="s">
        <v>141</v>
      </c>
      <c r="C85" s="9" t="n">
        <f aca="false">D85+E85</f>
        <v>4</v>
      </c>
      <c r="D85" s="7" t="n">
        <v>2</v>
      </c>
      <c r="E85" s="7" t="n">
        <v>2</v>
      </c>
    </row>
    <row r="86" customFormat="false" ht="15" hidden="false" customHeight="false" outlineLevel="0" collapsed="false">
      <c r="A86" s="6" t="s">
        <v>62</v>
      </c>
      <c r="B86" s="6" t="s">
        <v>142</v>
      </c>
      <c r="C86" s="9" t="n">
        <f aca="false">D86+E86</f>
        <v>7</v>
      </c>
      <c r="D86" s="7" t="n">
        <v>7</v>
      </c>
      <c r="E86" s="7" t="n">
        <v>0</v>
      </c>
    </row>
    <row r="87" customFormat="false" ht="15" hidden="false" customHeight="false" outlineLevel="0" collapsed="false">
      <c r="A87" s="6" t="s">
        <v>65</v>
      </c>
      <c r="B87" s="6" t="s">
        <v>136</v>
      </c>
      <c r="C87" s="9" t="n">
        <f aca="false">D87+E87</f>
        <v>13</v>
      </c>
      <c r="D87" s="7" t="n">
        <v>13</v>
      </c>
      <c r="E87" s="7" t="n">
        <v>0</v>
      </c>
    </row>
    <row r="88" customFormat="false" ht="15" hidden="false" customHeight="false" outlineLevel="0" collapsed="false">
      <c r="A88" s="6" t="s">
        <v>65</v>
      </c>
      <c r="B88" s="6" t="s">
        <v>137</v>
      </c>
      <c r="C88" s="9" t="n">
        <f aca="false">D88+E88</f>
        <v>10</v>
      </c>
      <c r="D88" s="7" t="n">
        <v>10</v>
      </c>
      <c r="E88" s="7" t="n">
        <v>0</v>
      </c>
    </row>
    <row r="89" customFormat="false" ht="15" hidden="false" customHeight="false" outlineLevel="0" collapsed="false">
      <c r="A89" s="6" t="s">
        <v>65</v>
      </c>
      <c r="B89" s="6" t="s">
        <v>138</v>
      </c>
      <c r="C89" s="9" t="n">
        <f aca="false">D89+E89</f>
        <v>10</v>
      </c>
      <c r="D89" s="7" t="n">
        <v>10</v>
      </c>
      <c r="E89" s="7" t="n">
        <v>0</v>
      </c>
    </row>
    <row r="90" customFormat="false" ht="15" hidden="false" customHeight="false" outlineLevel="0" collapsed="false">
      <c r="A90" s="6" t="s">
        <v>65</v>
      </c>
      <c r="B90" s="6" t="s">
        <v>139</v>
      </c>
      <c r="C90" s="9" t="n">
        <f aca="false">D90+E90</f>
        <v>10</v>
      </c>
      <c r="D90" s="7" t="n">
        <v>10</v>
      </c>
      <c r="E90" s="7" t="n">
        <v>0</v>
      </c>
    </row>
    <row r="91" customFormat="false" ht="15" hidden="false" customHeight="false" outlineLevel="0" collapsed="false">
      <c r="A91" s="6" t="s">
        <v>65</v>
      </c>
      <c r="B91" s="6" t="s">
        <v>140</v>
      </c>
      <c r="C91" s="9" t="n">
        <f aca="false">D91+E91</f>
        <v>9</v>
      </c>
      <c r="D91" s="7" t="n">
        <v>9</v>
      </c>
      <c r="E91" s="7" t="n">
        <v>0</v>
      </c>
    </row>
    <row r="92" customFormat="false" ht="15" hidden="false" customHeight="false" outlineLevel="0" collapsed="false">
      <c r="A92" s="6" t="s">
        <v>65</v>
      </c>
      <c r="B92" s="6" t="s">
        <v>141</v>
      </c>
      <c r="C92" s="9" t="n">
        <f aca="false">D92+E92</f>
        <v>5</v>
      </c>
      <c r="D92" s="7" t="n">
        <v>2</v>
      </c>
      <c r="E92" s="7" t="n">
        <v>3</v>
      </c>
    </row>
    <row r="93" customFormat="false" ht="15" hidden="false" customHeight="false" outlineLevel="0" collapsed="false">
      <c r="A93" s="6" t="s">
        <v>65</v>
      </c>
      <c r="B93" s="6" t="s">
        <v>142</v>
      </c>
      <c r="C93" s="9" t="n">
        <f aca="false">D93+E93</f>
        <v>9</v>
      </c>
      <c r="D93" s="7" t="n">
        <v>9</v>
      </c>
      <c r="E93" s="7" t="n">
        <v>0</v>
      </c>
    </row>
    <row r="94" customFormat="false" ht="15" hidden="false" customHeight="false" outlineLevel="0" collapsed="false">
      <c r="A94" s="6" t="s">
        <v>67</v>
      </c>
      <c r="B94" s="6" t="s">
        <v>136</v>
      </c>
      <c r="C94" s="9" t="n">
        <f aca="false">D94+E94</f>
        <v>13</v>
      </c>
      <c r="D94" s="7" t="n">
        <v>13</v>
      </c>
      <c r="E94" s="7" t="n">
        <v>0</v>
      </c>
    </row>
    <row r="95" customFormat="false" ht="15" hidden="false" customHeight="false" outlineLevel="0" collapsed="false">
      <c r="A95" s="6" t="s">
        <v>67</v>
      </c>
      <c r="B95" s="6" t="s">
        <v>137</v>
      </c>
      <c r="C95" s="9" t="n">
        <f aca="false">D95+E95</f>
        <v>10</v>
      </c>
      <c r="D95" s="7" t="n">
        <v>10</v>
      </c>
      <c r="E95" s="7" t="n">
        <v>0</v>
      </c>
    </row>
    <row r="96" customFormat="false" ht="15" hidden="false" customHeight="false" outlineLevel="0" collapsed="false">
      <c r="A96" s="6" t="s">
        <v>67</v>
      </c>
      <c r="B96" s="6" t="s">
        <v>138</v>
      </c>
      <c r="C96" s="9" t="n">
        <f aca="false">D96+E96</f>
        <v>10</v>
      </c>
      <c r="D96" s="7" t="n">
        <v>10</v>
      </c>
      <c r="E96" s="7" t="n">
        <v>0</v>
      </c>
    </row>
    <row r="97" customFormat="false" ht="15" hidden="false" customHeight="false" outlineLevel="0" collapsed="false">
      <c r="A97" s="6" t="s">
        <v>67</v>
      </c>
      <c r="B97" s="6" t="s">
        <v>139</v>
      </c>
      <c r="C97" s="9" t="n">
        <f aca="false">D97+E97</f>
        <v>10</v>
      </c>
      <c r="D97" s="7" t="n">
        <v>10</v>
      </c>
      <c r="E97" s="7" t="n">
        <v>0</v>
      </c>
    </row>
    <row r="98" customFormat="false" ht="15" hidden="false" customHeight="false" outlineLevel="0" collapsed="false">
      <c r="A98" s="6" t="s">
        <v>67</v>
      </c>
      <c r="B98" s="6" t="s">
        <v>140</v>
      </c>
      <c r="C98" s="9" t="n">
        <f aca="false">D98+E98</f>
        <v>4</v>
      </c>
      <c r="D98" s="7" t="n">
        <v>4</v>
      </c>
      <c r="E98" s="7" t="n">
        <v>0</v>
      </c>
    </row>
    <row r="99" customFormat="false" ht="15" hidden="false" customHeight="false" outlineLevel="0" collapsed="false">
      <c r="A99" s="6" t="s">
        <v>67</v>
      </c>
      <c r="B99" s="6" t="s">
        <v>141</v>
      </c>
      <c r="C99" s="9" t="n">
        <f aca="false">D99+E99</f>
        <v>9</v>
      </c>
      <c r="D99" s="7" t="n">
        <v>9</v>
      </c>
      <c r="E99" s="7" t="n">
        <v>0</v>
      </c>
    </row>
    <row r="100" customFormat="false" ht="15" hidden="false" customHeight="false" outlineLevel="0" collapsed="false">
      <c r="A100" s="6" t="s">
        <v>67</v>
      </c>
      <c r="B100" s="6" t="s">
        <v>142</v>
      </c>
      <c r="C100" s="9" t="n">
        <f aca="false">D100+E100</f>
        <v>8.5</v>
      </c>
      <c r="D100" s="7" t="n">
        <v>6</v>
      </c>
      <c r="E100" s="7" t="n">
        <v>2.5</v>
      </c>
    </row>
    <row r="102" customFormat="false" ht="15" hidden="false" customHeight="false" outlineLevel="0" collapsed="false">
      <c r="A102" s="17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2026-10-25T11:51:39Z</dcterms:created>
  <dc:creator>Trần Bá Đạt</dc:creator>
  <dc:description/>
  <dc:language>en-US</dc:language>
  <cp:lastModifiedBy>Trần Bá Đạt</cp:lastModifiedBy>
  <dcterms:modified xsi:type="dcterms:W3CDTF">2026-10-25T11:51:39Z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