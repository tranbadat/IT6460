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ong_hop" sheetId="1" state="visible" r:id="rId3"/>
    <sheet name="Tham_so" sheetId="2" state="visible" r:id="rId4"/>
    <sheet name="WBS_MD" sheetId="3" state="visible" r:id="rId5"/>
    <sheet name="Nhan_cong" sheetId="4" state="visible" r:id="rId6"/>
    <sheet name="Chi_phi_khac" sheetId="5" state="visible" r:id="rId7"/>
    <sheet name="Doi_chieu_nguoi" sheetId="6" state="visible" r:id="rId8"/>
    <sheet name="Goi_01A" sheetId="7" state="visible" r:id="rId9"/>
    <sheet name="Mau_11A" sheetId="8" state="visible" r:id="rId10"/>
    <sheet name="Theo_nhom" sheetId="9" state="visible" r:id="rId11"/>
    <sheet name="Dong_tien" sheetId="10" state="visible" r:id="rId12"/>
    <sheet name="Huy_dong_luong" sheetId="11" state="visible" r:id="rId13"/>
    <sheet name="Phan_bo_luong"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<sst xmlns="http://schemas.openxmlformats.org/spreadsheetml/2006/main" count="1985" uniqueCount="584">
  <si>
    <t xml:space="preserve">Cost estimate</t>
  </si>
  <si>
    <t xml:space="preserve">Xây dựng và triển khai hệ thống website bán hàng trực tuyến (Web Selling Site System)</t>
  </si>
  <si>
    <t xml:space="preserve">Khoản mục</t>
  </si>
  <si>
    <t xml:space="preserve">Giá trị, đồng</t>
  </si>
  <si>
    <t xml:space="preserve">A. Nhân công theo loại công việc</t>
  </si>
  <si>
    <t xml:space="preserve">B. Chi phí khác</t>
  </si>
  <si>
    <t xml:space="preserve">D. Dự phòng rủi ro tách riêng</t>
  </si>
  <si>
    <t xml:space="preserve">Chi phí đã biết (A + B + D)</t>
  </si>
  <si>
    <t xml:space="preserve">Giá chào trọn gói, gồm thuế</t>
  </si>
  <si>
    <t xml:space="preserve">Giá trước thuế</t>
  </si>
  <si>
    <t xml:space="preserve">Thuế GTGT</t>
  </si>
  <si>
    <t xml:space="preserve">C. Chi phí chung và lợi nhuận</t>
  </si>
  <si>
    <t xml:space="preserve">Tỷ lệ C trên giá trước thuế</t>
  </si>
  <si>
    <t xml:space="preserve">Giá gói thầu</t>
  </si>
  <si>
    <t xml:space="preserve">Giá dự thầu ban đầu thấp hơn giá gói thầu (giá chào trừ điều chỉnh theo phụ lục)</t>
  </si>
  <si>
    <t xml:space="preserve">Tỷ lệ thấp hơn</t>
  </si>
  <si>
    <t xml:space="preserve">Kiểm tra giá dự thầu ban đầu không vượt giá gói thầu</t>
  </si>
  <si>
    <t xml:space="preserve">Kiểm tra tỷ lệ C tối thiểu</t>
  </si>
  <si>
    <t xml:space="preserve">EMV còn lại của sổ rủi ro (rủi ro chưa xảy ra, chưa đóng)</t>
  </si>
  <si>
    <t xml:space="preserve">Dự phòng hiện có (phần dự phòng trong B, trống thì cả B, hoặc D)</t>
  </si>
  <si>
    <t xml:space="preserve">Kiểm tra dự phòng so với EMV</t>
  </si>
  <si>
    <t xml:space="preserve">Độ nhạy: giá trước thuế nếu áp thuế suất tính độ nhạy</t>
  </si>
  <si>
    <t xml:space="preserve">Độ nhạy: khoản C tương ứng</t>
  </si>
  <si>
    <t xml:space="preserve">Chi phí lương kế hoạch theo người (theo cách trả lương)</t>
  </si>
  <si>
    <t xml:space="preserve">Khoản còn lại sau chi phí lương kế hoạch (giá trước thuế - lương - B - D)</t>
  </si>
  <si>
    <t xml:space="preserve">Tỷ lệ khoản còn lại trên giá trước thuế</t>
  </si>
  <si>
    <t xml:space="preserve">Kiểm tra giá trước thuế đủ bù chi phí lương kế hoạch</t>
  </si>
  <si>
    <t xml:space="preserve">Kiểm tra tỷ lệ khoản còn lại tối thiểu</t>
  </si>
  <si>
    <t xml:space="preserve">Độ nhạy: khoản còn lại sau chi phí lương kế hoạch</t>
  </si>
  <si>
    <t xml:space="preserve">Căn cứ thuế: Dịch vụ phần mềm thuộc đối tượng không chịu thuế GTGT (Luật Thuế GTGT số 48/2024/QH15, khoản 21 Điều 5; Nghị định số 181/2025/NĐ-CP, khoản 13 Điều 4)</t>
  </si>
  <si>
    <t xml:space="preserve">Dự phòng hiện có lấy số tiền dự phòng rủi ro khai báo trong khoản B. Để trống thì cả khoản B được coi là dự phòng, 0 là không có dự phòng.</t>
  </si>
  <si>
    <t xml:space="preserve">Chữ xanh dương: dữ liệu đầu vào. Chữ xanh lá: tham chiếu sang sheet khác. Chữ đen: công thức.</t>
  </si>
  <si>
    <t xml:space="preserve">Tham số dự toán</t>
  </si>
  <si>
    <t xml:space="preserve">Tham số</t>
  </si>
  <si>
    <t xml:space="preserve">Giá trị</t>
  </si>
  <si>
    <t xml:space="preserve">Nguồn</t>
  </si>
  <si>
    <t xml:space="preserve">Số MD mỗi người-tháng</t>
  </si>
  <si>
    <t xml:space="preserve">dau_vao/don_gia.json</t>
  </si>
  <si>
    <t xml:space="preserve">Hệ số bảo hiểm phần doanh nghiệp</t>
  </si>
  <si>
    <t xml:space="preserve">Lương cộng bảo hiểm xã hội, bảo hiểm y tế, bảo hiểm thất nghiệp và kinh phí công đoàn phần doanh nghiệp đóng</t>
  </si>
  <si>
    <t xml:space="preserve">Ngày làm việc mỗi tháng</t>
  </si>
  <si>
    <t xml:space="preserve">Giá chào mục tiêu, đồng</t>
  </si>
  <si>
    <t xml:space="preserve">Thuế suất GTGT áp dụng</t>
  </si>
  <si>
    <t xml:space="preserve">Dịch vụ phần mềm thuộc đối tượng không chịu thuế GTGT (Luật Thuế GTGT số 48/2024/QH15, khoản 21 Điều 5; Nghị định số 181/2025/NĐ-CP, khoản 13 Điều 4)</t>
  </si>
  <si>
    <t xml:space="preserve">Thuế suất GTGT tính độ nhạy</t>
  </si>
  <si>
    <t xml:space="preserve">Thời hạn thanh toán theo HSMT (Mục 13.1 E-ĐKCT), ngày</t>
  </si>
  <si>
    <t xml:space="preserve">Tỷ lệ chi phí chung và lợi nhuận tối thiểu</t>
  </si>
  <si>
    <t xml:space="preserve">Tỷ lệ chi phí chung và lợi nhuận (cách cộng dồn)</t>
  </si>
  <si>
    <t xml:space="preserve">Giá gói thầu theo HSMT, đồng</t>
  </si>
  <si>
    <t xml:space="preserve">du_lieu/hsmt.json</t>
  </si>
  <si>
    <t xml:space="preserve">Giá điều chỉnh theo phụ lục hợp đồng đã cộng vào giá chào mục tiêu, đồng</t>
  </si>
  <si>
    <t xml:space="preserve">du_lieu/thay_doi.json phu_luc (CR01 01/2027/PL-ABCW)</t>
  </si>
  <si>
    <t xml:space="preserve">Giá điều chỉnh theo 01/2027/PL-ABCW (CR01), đồng</t>
  </si>
  <si>
    <t xml:space="preserve">du_lieu/thay_doi.json, CR01 phu_luc</t>
  </si>
  <si>
    <t xml:space="preserve">EMV còn lại của sổ rủi ro (rủi ro chưa xảy ra, chưa đóng), đồng</t>
  </si>
  <si>
    <t xml:space="preserve">du_lieu/rui_ro.json tong_hop.tong_emv_tien_con_lai</t>
  </si>
  <si>
    <t xml:space="preserve">Tỷ lệ dự phòng (cách tỷ lệ)</t>
  </si>
  <si>
    <t xml:space="preserve">Số tiền dự phòng rủi ro trong khoản B (để trống là cả khoản B, 0 là không có dự phòng)</t>
  </si>
  <si>
    <t xml:space="preserve">Cách trả lương (cong_suc: MD công việc, huy_dong hoặc ket_hop: MD huy động)</t>
  </si>
  <si>
    <t xml:space="preserve">cong_suc</t>
  </si>
  <si>
    <t xml:space="preserve">Đơn giá trọn gói theo loại công việc</t>
  </si>
  <si>
    <t xml:space="preserve">Mã loại</t>
  </si>
  <si>
    <t xml:space="preserve">Tên</t>
  </si>
  <si>
    <t xml:space="preserve">Đơn giá, đồng/người-tháng</t>
  </si>
  <si>
    <t xml:space="preserve">PM</t>
  </si>
  <si>
    <t xml:space="preserve">Quản lý dự án</t>
  </si>
  <si>
    <t xml:space="preserve">BA</t>
  </si>
  <si>
    <t xml:space="preserve">Phân tích nghiệp vụ, kiến trúc</t>
  </si>
  <si>
    <t xml:space="preserve">QA</t>
  </si>
  <si>
    <t xml:space="preserve">Kiểm thử, bảo đảm chất lượng</t>
  </si>
  <si>
    <t xml:space="preserve">DEV</t>
  </si>
  <si>
    <t xml:space="preserve">Phát triển phần mềm</t>
  </si>
  <si>
    <t xml:space="preserve">DEVOPS</t>
  </si>
  <si>
    <t xml:space="preserve">Triển khai và vận hành</t>
  </si>
  <si>
    <t xml:space="preserve">Lương tham chiếu theo vai trò (Mức trung vị theo vị trí, báo cáo lương ITviec 2025-2026, riêng mức của kiến trúc sư kiêm phân tích nghiệp vụ và kỹ sư kiểm thử do nhóm xác định trong bảng quyết toán lương)</t>
  </si>
  <si>
    <t xml:space="preserve">Mã vai trò</t>
  </si>
  <si>
    <t xml:space="preserve">Lương, đồng/tháng</t>
  </si>
  <si>
    <t xml:space="preserve">LEAD</t>
  </si>
  <si>
    <t xml:space="preserve">Trưởng nhóm, kiến trúc sư</t>
  </si>
  <si>
    <t xml:space="preserve">BACKEND</t>
  </si>
  <si>
    <t xml:space="preserve">Kỹ sư backend</t>
  </si>
  <si>
    <t xml:space="preserve">FRONTEND</t>
  </si>
  <si>
    <t xml:space="preserve">Kỹ sư frontend</t>
  </si>
  <si>
    <t xml:space="preserve">BAQA</t>
  </si>
  <si>
    <t xml:space="preserve">Phân tích nghiệp vụ, kiểm thử</t>
  </si>
  <si>
    <t xml:space="preserve">SA_BA</t>
  </si>
  <si>
    <t xml:space="preserve">Kiến trúc sư kiêm phân tích nghiệp vụ</t>
  </si>
  <si>
    <t xml:space="preserve">TESTER</t>
  </si>
  <si>
    <t xml:space="preserve">Kỹ sư kiểm thử</t>
  </si>
  <si>
    <t xml:space="preserve">Mã gói</t>
  </si>
  <si>
    <t xml:space="preserve">Tên gói</t>
  </si>
  <si>
    <t xml:space="preserve">Loại</t>
  </si>
  <si>
    <t xml:space="preserve">MD</t>
  </si>
  <si>
    <t xml:space="preserve">Nhóm mức 1</t>
  </si>
  <si>
    <t xml:space="preserve">Chi phí A của gói, đồng</t>
  </si>
  <si>
    <t xml:space="preserve">1.1.1</t>
  </si>
  <si>
    <t xml:space="preserve">Họp khởi động, xác nhận phạm vi, điều kiện tiền đề, vai trò và trách nhiệm các bên</t>
  </si>
  <si>
    <t xml:space="preserve">1</t>
  </si>
  <si>
    <t xml:space="preserve">1.1.2</t>
  </si>
  <si>
    <t xml:space="preserve">Họp tiến độ hằng tuần, trình diễn và báo cáo cuối sprint, phần phân hệ quản lý sản phẩm</t>
  </si>
  <si>
    <t xml:space="preserve">1.1.3</t>
  </si>
  <si>
    <t xml:space="preserve">Quản lý rủi ro, vấn đề và yêu cầu thay đổi đặc tả, phần phân hệ quản lý sản phẩm</t>
  </si>
  <si>
    <t xml:space="preserve">1.1.4</t>
  </si>
  <si>
    <t xml:space="preserve">Quản lý cấu hình, phiên bản tài liệu, hồ sơ dự án, hồ sơ nghiệm thu và thanh toán, phần phân hệ quản lý sản phẩm</t>
  </si>
  <si>
    <t xml:space="preserve">1.1.5</t>
  </si>
  <si>
    <t xml:space="preserve">Báo cáo tổng kết, bài học kinh nghiệm và bàn giao hồ sơ dự án</t>
  </si>
  <si>
    <t xml:space="preserve">1.2.1</t>
  </si>
  <si>
    <t xml:space="preserve">Đặc tả chức năng (Function) tìm kiếm và hiển thị sản phẩm</t>
  </si>
  <si>
    <t xml:space="preserve">1.2.2</t>
  </si>
  <si>
    <t xml:space="preserve">Sơ đồ phân cấp menu (Menu Layer)</t>
  </si>
  <si>
    <t xml:space="preserve">1.2.3</t>
  </si>
  <si>
    <t xml:space="preserve">Thiết kế giao diện ưu tiên trang chủ, tìm kiếm và chi tiết sản phẩm</t>
  </si>
  <si>
    <t xml:space="preserve">1.2.4</t>
  </si>
  <si>
    <t xml:space="preserve">Thư viện thành phần giao diện dùng chung, tương thích thiết bị di động</t>
  </si>
  <si>
    <t xml:space="preserve">1.2.5</t>
  </si>
  <si>
    <t xml:space="preserve">Đặc tả use case tìm kiếm, lọc và sắp xếp sản phẩm</t>
  </si>
  <si>
    <t xml:space="preserve">1.2.6</t>
  </si>
  <si>
    <t xml:space="preserve">Đặc tả use case trang chủ, danh mục và chi tiết sản phẩm</t>
  </si>
  <si>
    <t xml:space="preserve">1.2.7</t>
  </si>
  <si>
    <t xml:space="preserve">Thiết kế chi tiết tìm kiếm, lọc, sắp xếp và chỉ mục tìm kiếm</t>
  </si>
  <si>
    <t xml:space="preserve">1.2.8</t>
  </si>
  <si>
    <t xml:space="preserve">Thiết kế chi tiết trang chủ, danh mục và chi tiết sản phẩm</t>
  </si>
  <si>
    <t xml:space="preserve">1.3.1</t>
  </si>
  <si>
    <t xml:space="preserve">Dịch vụ chỉ mục tìm kiếm và cập nhật chỉ mục từ Selling DB</t>
  </si>
  <si>
    <t xml:space="preserve">1.3.2</t>
  </si>
  <si>
    <t xml:space="preserve">Dịch vụ tìm kiếm theo từ khóa và gợi ý tìm kiếm</t>
  </si>
  <si>
    <t xml:space="preserve">1.3.3</t>
  </si>
  <si>
    <t xml:space="preserve">Dịch vụ lọc và sắp xếp kết quả tìm kiếm</t>
  </si>
  <si>
    <t xml:space="preserve">1.3.4</t>
  </si>
  <si>
    <t xml:space="preserve">Dịch vụ danh mục, chi tiết sản phẩm, biến thể, tồn kho và giá khuyến mại hiển thị</t>
  </si>
  <si>
    <t xml:space="preserve">1.3.5</t>
  </si>
  <si>
    <t xml:space="preserve">Giao diện trang chủ và điều hướng danh mục theo Menu Layer</t>
  </si>
  <si>
    <t xml:space="preserve">1.3.6</t>
  </si>
  <si>
    <t xml:space="preserve">Giao diện tìm kiếm, kết quả và bộ lọc</t>
  </si>
  <si>
    <t xml:space="preserve">1.3.7</t>
  </si>
  <si>
    <t xml:space="preserve">Giao diện chi tiết sản phẩm</t>
  </si>
  <si>
    <t xml:space="preserve">1.3.8</t>
  </si>
  <si>
    <t xml:space="preserve">Bộ nhớ đệm và tối ưu thời gian phản hồi trang danh mục, chi tiết sản phẩm</t>
  </si>
  <si>
    <t xml:space="preserve">1.4.1</t>
  </si>
  <si>
    <t xml:space="preserve">Kịch bản kiểm thử và bộ kiểm thử tự động phân hệ quản lý sản phẩm</t>
  </si>
  <si>
    <t xml:space="preserve">1.4.2</t>
  </si>
  <si>
    <t xml:space="preserve">Kiểm thử tìm kiếm, lọc và sắp xếp sản phẩm</t>
  </si>
  <si>
    <t xml:space="preserve">1.4.3</t>
  </si>
  <si>
    <t xml:space="preserve">Kiểm thử trang chủ, danh mục và chi tiết sản phẩm</t>
  </si>
  <si>
    <t xml:space="preserve">1.4.4</t>
  </si>
  <si>
    <t xml:space="preserve">Sửa lỗi và kiểm thử lại chức năng tìm kiếm, lọc và sắp xếp</t>
  </si>
  <si>
    <t xml:space="preserve">1.4.5</t>
  </si>
  <si>
    <t xml:space="preserve">Kiểm thử tương thích trình duyệt, thiết bị di động và thời gian phản hồi phân hệ quản lý sản phẩm</t>
  </si>
  <si>
    <t xml:space="preserve">1.4.6</t>
  </si>
  <si>
    <t xml:space="preserve">Sửa lỗi và kiểm thử lại trang chủ, danh mục và chi tiết sản phẩm</t>
  </si>
  <si>
    <t xml:space="preserve">1.4.7</t>
  </si>
  <si>
    <t xml:space="preserve">Tài liệu chức năng và nghiệm thu nội bộ phân hệ quản lý sản phẩm</t>
  </si>
  <si>
    <t xml:space="preserve">1.4.8</t>
  </si>
  <si>
    <t xml:space="preserve">Kịch bản và công cụ kiểm thử hiệu năng, chịu tải 500 người dùng đồng thời</t>
  </si>
  <si>
    <t xml:space="preserve">1.4.9</t>
  </si>
  <si>
    <t xml:space="preserve">Kiểm thử hiệu năng trên môi trường kiểm thử</t>
  </si>
  <si>
    <t xml:space="preserve">1.4.10</t>
  </si>
  <si>
    <t xml:space="preserve">Tối ưu hiệu năng và khắc phục lỗ hổng theo kết quả kiểm thử bản phát hành</t>
  </si>
  <si>
    <t xml:space="preserve">1.4.11</t>
  </si>
  <si>
    <t xml:space="preserve">Tổ chức và hỗ trợ kiểm thử chấp nhận cùng Chủ đầu tư luồng tìm kiếm và hiển thị sản phẩm</t>
  </si>
  <si>
    <t xml:space="preserve">1.4.12</t>
  </si>
  <si>
    <t xml:space="preserve">Khắc phục lỗi và điều chỉnh theo kết quả kiểm thử chấp nhận phân hệ quản lý sản phẩm</t>
  </si>
  <si>
    <t xml:space="preserve">1.5.1</t>
  </si>
  <si>
    <t xml:space="preserve">Môi trường phát triển, kiểm thử và quy trình tích hợp, triển khai tự động</t>
  </si>
  <si>
    <t xml:space="preserve">1.5.2</t>
  </si>
  <si>
    <t xml:space="preserve">Chuyển đổi dữ liệu chính thức và triển khai phiên bản chính thức</t>
  </si>
  <si>
    <t xml:space="preserve">1.5.3</t>
  </si>
  <si>
    <t xml:space="preserve">Bàn giao mã nguồn, tài liệu kỹ thuật, tài liệu cài đặt và danh mục thư viện</t>
  </si>
  <si>
    <t xml:space="preserve">2.1.1</t>
  </si>
  <si>
    <t xml:space="preserve">Kế hoạch bảo đảm chất lượng, quy chuẩn mã nguồn và tiêu chí hoàn thành công việc</t>
  </si>
  <si>
    <t xml:space="preserve">2</t>
  </si>
  <si>
    <t xml:space="preserve">2.1.2</t>
  </si>
  <si>
    <t xml:space="preserve">Họp tiến độ hằng tuần, trình diễn và báo cáo cuối sprint, phần phân hệ quản lý khách hàng</t>
  </si>
  <si>
    <t xml:space="preserve">2.1.3</t>
  </si>
  <si>
    <t xml:space="preserve">Quản lý rủi ro, vấn đề và yêu cầu thay đổi đặc tả, phần phân hệ quản lý khách hàng</t>
  </si>
  <si>
    <t xml:space="preserve">2.1.4</t>
  </si>
  <si>
    <t xml:space="preserve">Quản lý cấu hình, phiên bản tài liệu, hồ sơ dự án, hồ sơ nghiệm thu và thanh toán, phần phân hệ quản lý khách hàng</t>
  </si>
  <si>
    <t xml:space="preserve">2.2.1</t>
  </si>
  <si>
    <t xml:space="preserve">Đặc tả chức năng (Function) quản lý thành viên</t>
  </si>
  <si>
    <t xml:space="preserve">2.2.2</t>
  </si>
  <si>
    <t xml:space="preserve">Đặc tả yêu cầu phi chức năng về hoạt động liên tục, thời gian phản hồi, bảo mật và thao tác</t>
  </si>
  <si>
    <t xml:space="preserve">2.2.3</t>
  </si>
  <si>
    <t xml:space="preserve">Nghiên cứu hành vi người dùng và khung giao diện các trang chính</t>
  </si>
  <si>
    <t xml:space="preserve">2.2.4</t>
  </si>
  <si>
    <t xml:space="preserve">Thiết kế giao diện ưu tiên đăng ký, đăng nhập và trang thành viên</t>
  </si>
  <si>
    <t xml:space="preserve">2.2.5</t>
  </si>
  <si>
    <t xml:space="preserve">Đặc tả use case đăng ký, xác thực thư điện tử, đăng nhập và khôi phục mật khẩu</t>
  </si>
  <si>
    <t xml:space="preserve">2.2.6</t>
  </si>
  <si>
    <t xml:space="preserve">Đặc tả use case thông tin thành viên, sổ địa chỉ giao hàng và đổi mật khẩu</t>
  </si>
  <si>
    <t xml:space="preserve">2.2.7</t>
  </si>
  <si>
    <t xml:space="preserve">Thiết kế chi tiết đăng ký, đăng nhập, phiên làm việc và bảo mật tài khoản</t>
  </si>
  <si>
    <t xml:space="preserve">2.2.8</t>
  </si>
  <si>
    <t xml:space="preserve">Thiết kế chi tiết thông tin thành viên và sổ địa chỉ</t>
  </si>
  <si>
    <t xml:space="preserve">2.3.1</t>
  </si>
  <si>
    <t xml:space="preserve">Dịch vụ đăng ký thành viên và xác thực địa chỉ thư điện tử</t>
  </si>
  <si>
    <t xml:space="preserve">2.3.2</t>
  </si>
  <si>
    <t xml:space="preserve">Dịch vụ đăng nhập, phiên làm việc và giới hạn đăng nhập sai</t>
  </si>
  <si>
    <t xml:space="preserve">2.3.3</t>
  </si>
  <si>
    <t xml:space="preserve">Dịch vụ khôi phục và đổi mật khẩu</t>
  </si>
  <si>
    <t xml:space="preserve">2.3.4</t>
  </si>
  <si>
    <t xml:space="preserve">Dịch vụ thông tin thành viên và sổ địa chỉ giao hàng</t>
  </si>
  <si>
    <t xml:space="preserve">2.3.5</t>
  </si>
  <si>
    <t xml:space="preserve">Dịch vụ đồng ý điều khoản và bảo vệ dữ liệu cá nhân của thành viên</t>
  </si>
  <si>
    <t xml:space="preserve">2.3.6</t>
  </si>
  <si>
    <t xml:space="preserve">Giao diện đăng ký, đăng nhập và khôi phục mật khẩu</t>
  </si>
  <si>
    <t xml:space="preserve">2.3.7</t>
  </si>
  <si>
    <t xml:space="preserve">Giao diện trang thành viên và sổ địa chỉ</t>
  </si>
  <si>
    <t xml:space="preserve">2.4.1</t>
  </si>
  <si>
    <t xml:space="preserve">Kịch bản kiểm thử và bộ kiểm thử tự động phân hệ quản lý khách hàng</t>
  </si>
  <si>
    <t xml:space="preserve">2.4.2</t>
  </si>
  <si>
    <t xml:space="preserve">Kiểm thử đăng ký, đăng nhập và khôi phục mật khẩu</t>
  </si>
  <si>
    <t xml:space="preserve">2.4.3</t>
  </si>
  <si>
    <t xml:space="preserve">Kiểm thử thông tin thành viên, sổ địa chỉ và đồng ý điều khoản</t>
  </si>
  <si>
    <t xml:space="preserve">2.4.4</t>
  </si>
  <si>
    <t xml:space="preserve">Sửa lỗi và kiểm thử lại đăng ký, đăng nhập và bảo mật tài khoản</t>
  </si>
  <si>
    <t xml:space="preserve">2.4.5</t>
  </si>
  <si>
    <t xml:space="preserve">Kiểm thử bảo mật tài khoản theo OWASP Top 10 và tương thích thiết bị phân hệ quản lý khách hàng</t>
  </si>
  <si>
    <t xml:space="preserve">2.4.6</t>
  </si>
  <si>
    <t xml:space="preserve">Sửa lỗi và kiểm thử lại thông tin thành viên và sổ địa chỉ</t>
  </si>
  <si>
    <t xml:space="preserve">2.4.7</t>
  </si>
  <si>
    <t xml:space="preserve">Tài liệu chức năng và nghiệm thu nội bộ phân hệ quản lý khách hàng</t>
  </si>
  <si>
    <t xml:space="preserve">2.4.8</t>
  </si>
  <si>
    <t xml:space="preserve">Kế hoạch kiểm thử hệ thống, kiểm thử chấp nhận và tiêu chí đạt</t>
  </si>
  <si>
    <t xml:space="preserve">2.4.9</t>
  </si>
  <si>
    <t xml:space="preserve">Đánh giá khả năng sử dụng của giao diện (Easy Operation)</t>
  </si>
  <si>
    <t xml:space="preserve">2.4.10</t>
  </si>
  <si>
    <t xml:space="preserve">Rà soát lỗ hổng bảo mật theo OWASP Top 10 trên môi trường kiểm thử</t>
  </si>
  <si>
    <t xml:space="preserve">2.4.11</t>
  </si>
  <si>
    <t xml:space="preserve">Kiểm thử hồi quy theo các đợt khắc phục lỗi kiểm thử chấp nhận</t>
  </si>
  <si>
    <t xml:space="preserve">2.4.12</t>
  </si>
  <si>
    <t xml:space="preserve">Tổ chức và hỗ trợ kiểm thử chấp nhận cùng Chủ đầu tư luồng đăng ký, đăng nhập và thành viên</t>
  </si>
  <si>
    <t xml:space="preserve">2.4.13</t>
  </si>
  <si>
    <t xml:space="preserve">Khắc phục lỗi và điều chỉnh theo kết quả kiểm thử chấp nhận phân hệ quản lý khách hàng</t>
  </si>
  <si>
    <t xml:space="preserve">2.5.1</t>
  </si>
  <si>
    <t xml:space="preserve">Tài liệu hướng dẫn sử dụng cho khách hàng và cán bộ bán hàng</t>
  </si>
  <si>
    <t xml:space="preserve">2.5.2</t>
  </si>
  <si>
    <t xml:space="preserve">Tài liệu hướng dẫn vận hành và quản trị kỹ thuật hệ thống</t>
  </si>
  <si>
    <t xml:space="preserve">2.5.3</t>
  </si>
  <si>
    <t xml:space="preserve">Cập nhật tài liệu hướng dẫn sử dụng theo kết quả kiểm thử chấp nhận</t>
  </si>
  <si>
    <t xml:space="preserve">3.1.1</t>
  </si>
  <si>
    <t xml:space="preserve">Kế hoạch quản lý dự án gồm phạm vi, tiến độ, tổ chức thực hiện, kế hoạch họp, quản lý rủi ro và thay đổi đặc tả</t>
  </si>
  <si>
    <t xml:space="preserve">3</t>
  </si>
  <si>
    <t xml:space="preserve">3.1.2</t>
  </si>
  <si>
    <t xml:space="preserve">Xác nhận kế hoạch quản lý dự án của Chủ đầu tư</t>
  </si>
  <si>
    <t xml:space="preserve">3.1.3</t>
  </si>
  <si>
    <t xml:space="preserve">Họp tiến độ hằng tuần, trình diễn và báo cáo cuối sprint, phần phân hệ quản lý đơn hàng</t>
  </si>
  <si>
    <t xml:space="preserve">3.1.4</t>
  </si>
  <si>
    <t xml:space="preserve">Quản lý rủi ro, vấn đề và yêu cầu thay đổi đặc tả, phần phân hệ quản lý đơn hàng</t>
  </si>
  <si>
    <t xml:space="preserve">3.1.5</t>
  </si>
  <si>
    <t xml:space="preserve">Quản lý cấu hình, phiên bản tài liệu, hồ sơ dự án, hồ sơ nghiệm thu và thanh toán, phần phân hệ quản lý đơn hàng</t>
  </si>
  <si>
    <t xml:space="preserve">3.1.6</t>
  </si>
  <si>
    <t xml:space="preserve">Cập nhật sổ rủi ro, kế hoạch quản lý thay đổi và cấu hình theo đặc tả đã xác nhận</t>
  </si>
  <si>
    <t xml:space="preserve">3.2.1</t>
  </si>
  <si>
    <t xml:space="preserve">Khảo sát nghiệp vụ bán hàng trực tuyến và quy trình hiện tại của Chủ đầu tư</t>
  </si>
  <si>
    <t xml:space="preserve">3.2.2</t>
  </si>
  <si>
    <t xml:space="preserve">Đặc tả chức năng (Function) đặt hàng gồm giỏ hàng, giữ tồn, phí vận chuyển, khuyến mại, hủy đơn, đổi trả</t>
  </si>
  <si>
    <t xml:space="preserve">3.2.3</t>
  </si>
  <si>
    <t xml:space="preserve">Quy trình vận hành mới (New Operational Flow) của kênh bán hàng trực tuyến</t>
  </si>
  <si>
    <t xml:space="preserve">3.2.4</t>
  </si>
  <si>
    <t xml:space="preserve">Thiết kế giao diện ưu tiên giỏ hàng, đặt hàng và theo dõi đơn hàng</t>
  </si>
  <si>
    <t xml:space="preserve">3.2.5</t>
  </si>
  <si>
    <t xml:space="preserve">Xác nhận đặc tả yêu cầu và giao diện ưu tiên của hai bên</t>
  </si>
  <si>
    <t xml:space="preserve">3.2.6</t>
  </si>
  <si>
    <t xml:space="preserve">Đặc tả use case giỏ hàng và giữ tồn kho khi đặt hàng</t>
  </si>
  <si>
    <t xml:space="preserve">3.2.7</t>
  </si>
  <si>
    <t xml:space="preserve">Đặc tả use case đặt hàng, phí vận chuyển, mã giảm giá và xác nhận đơn</t>
  </si>
  <si>
    <t xml:space="preserve">3.2.8</t>
  </si>
  <si>
    <t xml:space="preserve">Đặc tả use case theo dõi đơn hàng, hủy đơn, đổi trả và hoàn tiền</t>
  </si>
  <si>
    <t xml:space="preserve">3.2.9</t>
  </si>
  <si>
    <t xml:space="preserve">Thiết kế chi tiết giỏ hàng và giữ tồn kho</t>
  </si>
  <si>
    <t xml:space="preserve">3.2.10</t>
  </si>
  <si>
    <t xml:space="preserve">Thiết kế chi tiết đặt hàng, phí vận chuyển và khuyến mại</t>
  </si>
  <si>
    <t xml:space="preserve">3.2.11</t>
  </si>
  <si>
    <t xml:space="preserve">Thiết kế chi tiết trạng thái đơn hàng, hủy đơn và đổi trả</t>
  </si>
  <si>
    <t xml:space="preserve">3.2.12</t>
  </si>
  <si>
    <t xml:space="preserve">Cập nhật đặc tả hệ thống và cấu trúc cơ sở dữ liệu theo phiên bản bàn giao</t>
  </si>
  <si>
    <t xml:space="preserve">3.3.1</t>
  </si>
  <si>
    <t xml:space="preserve">Dịch vụ giỏ hàng</t>
  </si>
  <si>
    <t xml:space="preserve">3.3.2</t>
  </si>
  <si>
    <t xml:space="preserve">Dịch vụ giữ tồn kho tạm thời khi đặt hàng và giải phóng tồn</t>
  </si>
  <si>
    <t xml:space="preserve">3.3.3</t>
  </si>
  <si>
    <t xml:space="preserve">Dịch vụ tính phí vận chuyển</t>
  </si>
  <si>
    <t xml:space="preserve">3.3.4</t>
  </si>
  <si>
    <t xml:space="preserve">Dịch vụ khuyến mại và mã giảm giá</t>
  </si>
  <si>
    <t xml:space="preserve">3.3.5</t>
  </si>
  <si>
    <t xml:space="preserve">Dịch vụ đặt hàng, xác nhận đơn và thư điện tử xác nhận</t>
  </si>
  <si>
    <t xml:space="preserve">3.3.6</t>
  </si>
  <si>
    <t xml:space="preserve">Dịch vụ lịch sử, trạng thái đơn hàng và hủy đơn</t>
  </si>
  <si>
    <t xml:space="preserve">3.3.7</t>
  </si>
  <si>
    <t xml:space="preserve">Dịch vụ yêu cầu đổi trả và hoàn tiền</t>
  </si>
  <si>
    <t xml:space="preserve">3.3.8</t>
  </si>
  <si>
    <t xml:space="preserve">Giao diện giỏ hàng</t>
  </si>
  <si>
    <t xml:space="preserve">3.3.9</t>
  </si>
  <si>
    <t xml:space="preserve">Giao diện đặt hàng gồm địa chỉ, phí vận chuyển, mã giảm giá và xác nhận</t>
  </si>
  <si>
    <t xml:space="preserve">3.3.10</t>
  </si>
  <si>
    <t xml:space="preserve">Giao diện theo dõi đơn hàng, hủy đơn và đổi trả</t>
  </si>
  <si>
    <t xml:space="preserve">3.3.11</t>
  </si>
  <si>
    <t xml:space="preserve">Rà soát mã nguồn và kiến trúc giai đoạn lập trình phân hệ</t>
  </si>
  <si>
    <t xml:space="preserve">3.4.1</t>
  </si>
  <si>
    <t xml:space="preserve">Kịch bản kiểm thử và bộ kiểm thử tự động phân hệ quản lý đơn hàng</t>
  </si>
  <si>
    <t xml:space="preserve">3.4.2</t>
  </si>
  <si>
    <t xml:space="preserve">Kiểm thử giỏ hàng và giữ tồn kho</t>
  </si>
  <si>
    <t xml:space="preserve">3.4.3</t>
  </si>
  <si>
    <t xml:space="preserve">Kiểm thử đặt hàng, phí vận chuyển và khuyến mại</t>
  </si>
  <si>
    <t xml:space="preserve">3.4.4</t>
  </si>
  <si>
    <t xml:space="preserve">Kiểm thử theo dõi đơn hàng, hủy đơn và đổi trả</t>
  </si>
  <si>
    <t xml:space="preserve">3.4.5</t>
  </si>
  <si>
    <t xml:space="preserve">Sửa lỗi và kiểm thử lại giỏ hàng và giữ tồn kho</t>
  </si>
  <si>
    <t xml:space="preserve">3.4.6</t>
  </si>
  <si>
    <t xml:space="preserve">Kiểm thử luồng đặt hàng đầu cuối của phân hệ với dữ liệu biên và đồng thời</t>
  </si>
  <si>
    <t xml:space="preserve">3.4.7</t>
  </si>
  <si>
    <t xml:space="preserve">Sửa lỗi và kiểm thử lại đặt hàng, phí vận chuyển và khuyến mại</t>
  </si>
  <si>
    <t xml:space="preserve">3.4.8</t>
  </si>
  <si>
    <t xml:space="preserve">Sửa lỗi và kiểm thử lại theo dõi đơn hàng, hủy đơn và đổi trả</t>
  </si>
  <si>
    <t xml:space="preserve">3.4.9</t>
  </si>
  <si>
    <t xml:space="preserve">Tài liệu chức năng và nghiệm thu nội bộ phân hệ quản lý đơn hàng</t>
  </si>
  <si>
    <t xml:space="preserve">3.4.10</t>
  </si>
  <si>
    <t xml:space="preserve">Kịch bản kiểm thử hệ thống đầu cuối</t>
  </si>
  <si>
    <t xml:space="preserve">3.4.11</t>
  </si>
  <si>
    <t xml:space="preserve">Kịch bản kiểm thử chấp nhận theo quy trình vận hành mới</t>
  </si>
  <si>
    <t xml:space="preserve">3.4.12</t>
  </si>
  <si>
    <t xml:space="preserve">Kiểm thử chức năng đầu cuối</t>
  </si>
  <si>
    <t xml:space="preserve">3.4.13</t>
  </si>
  <si>
    <t xml:space="preserve">Tổ chức và hỗ trợ kiểm thử vận hành cùng Chủ đầu tư luồng đặt hàng và giao nhận</t>
  </si>
  <si>
    <t xml:space="preserve">3.4.14</t>
  </si>
  <si>
    <t xml:space="preserve">Khắc phục lỗi và điều chỉnh theo kết quả kiểm thử chấp nhận phân hệ quản lý đơn hàng</t>
  </si>
  <si>
    <t xml:space="preserve">3.5.1</t>
  </si>
  <si>
    <t xml:space="preserve">Hướng dẫn vận hành cho cán bộ Chủ đầu tư theo quy trình vận hành mới, ba buổi theo lịch của Chủ đầu tư</t>
  </si>
  <si>
    <t xml:space="preserve">3.5.2</t>
  </si>
  <si>
    <t xml:space="preserve">Kế hoạch cut over, danh sách kiểm tra và phương án khôi phục</t>
  </si>
  <si>
    <t xml:space="preserve">3.5.3</t>
  </si>
  <si>
    <t xml:space="preserve">Diễn tập triển khai phiên bản chính thức và chuyển đổi dữ liệu trên môi trường vận hành</t>
  </si>
  <si>
    <t xml:space="preserve">3.5.4</t>
  </si>
  <si>
    <t xml:space="preserve">Hỗ trợ ngày đưa hệ thống vào vận hành và biên bản bàn giao hệ thống</t>
  </si>
  <si>
    <t xml:space="preserve">4.1.1</t>
  </si>
  <si>
    <t xml:space="preserve">Họp tiến độ hằng tuần, trình diễn và báo cáo cuối sprint, phần phân hệ tích hợp hệ thống</t>
  </si>
  <si>
    <t xml:space="preserve">4</t>
  </si>
  <si>
    <t xml:space="preserve">4.1.2</t>
  </si>
  <si>
    <t xml:space="preserve">Quản lý rủi ro, vấn đề và yêu cầu thay đổi đặc tả, phần phân hệ tích hợp hệ thống</t>
  </si>
  <si>
    <t xml:space="preserve">4.1.3</t>
  </si>
  <si>
    <t xml:space="preserve">Quản lý cấu hình, phiên bản tài liệu, hồ sơ dự án, hồ sơ nghiệm thu và thanh toán, phần phân hệ tích hợp hệ thống</t>
  </si>
  <si>
    <t xml:space="preserve">4.2.1</t>
  </si>
  <si>
    <t xml:space="preserve">Khảo sát hệ thống hiện có, Main System và luồng dữ liệu liên quan</t>
  </si>
  <si>
    <t xml:space="preserve">4.2.2</t>
  </si>
  <si>
    <t xml:space="preserve">Kiến trúc hệ thống, hạ tầng và phương án bảo đảm hoạt động liên tục</t>
  </si>
  <si>
    <t xml:space="preserve">4.2.3</t>
  </si>
  <si>
    <t xml:space="preserve">Cấu trúc cơ sở dữ liệu (Database Structure) của Selling DB</t>
  </si>
  <si>
    <t xml:space="preserve">4.2.4</t>
  </si>
  <si>
    <t xml:space="preserve">Cấu hình cơ sở dữ liệu (DB Configuration) gồm dự phòng, sao lưu và phân quyền truy cập</t>
  </si>
  <si>
    <t xml:space="preserve">4.2.5</t>
  </si>
  <si>
    <t xml:space="preserve">Đặc tả giao diện trao đổi dữ liệu với Main System</t>
  </si>
  <si>
    <t xml:space="preserve">4.2.6</t>
  </si>
  <si>
    <t xml:space="preserve">Xác nhận đặc tả giao diện tích hợp với Main System của Chủ đầu tư</t>
  </si>
  <si>
    <t xml:space="preserve">4.2.7</t>
  </si>
  <si>
    <t xml:space="preserve">Thiết kế tích hợp gồm ánh xạ dữ liệu, xử lý lỗi và gửi lại</t>
  </si>
  <si>
    <t xml:space="preserve">4.3.1</t>
  </si>
  <si>
    <t xml:space="preserve">Khung ứng dụng phía máy chủ và thành phần dùng chung về xác thực, phân quyền, ghi nhật ký, xử lý lỗi</t>
  </si>
  <si>
    <t xml:space="preserve">4.3.2</t>
  </si>
  <si>
    <t xml:space="preserve">Tạo lập Selling DB theo cấu trúc đã thiết kế và tầng truy cập dữ liệu</t>
  </si>
  <si>
    <t xml:space="preserve">4.3.3</t>
  </si>
  <si>
    <t xml:space="preserve">Khung ứng dụng giao diện gồm định tuyến, quản lý trạng thái và gọi dịch vụ</t>
  </si>
  <si>
    <t xml:space="preserve">4.3.4</t>
  </si>
  <si>
    <t xml:space="preserve">Dịch vụ gửi thư điện tử qua máy chủ thư của Chủ đầu tư</t>
  </si>
  <si>
    <t xml:space="preserve">4.3.5</t>
  </si>
  <si>
    <t xml:space="preserve">Đồng bộ danh mục sản phẩm và giá từ Main System</t>
  </si>
  <si>
    <t xml:space="preserve">4.3.6</t>
  </si>
  <si>
    <t xml:space="preserve">Đồng bộ tồn kho từ Main System</t>
  </si>
  <si>
    <t xml:space="preserve">4.3.7</t>
  </si>
  <si>
    <t xml:space="preserve">Chuyển đơn hàng sang Main System và nhận trạng thái xử lý</t>
  </si>
  <si>
    <t xml:space="preserve">4.3.8</t>
  </si>
  <si>
    <t xml:space="preserve">Nhận trạng thái vận chuyển từ Main System</t>
  </si>
  <si>
    <t xml:space="preserve">4.3.9</t>
  </si>
  <si>
    <t xml:space="preserve">Giám sát tích hợp, cảnh báo lỗi đồng bộ và gửi lại</t>
  </si>
  <si>
    <t xml:space="preserve">4.3.10</t>
  </si>
  <si>
    <t xml:space="preserve">Công cụ chuyển đổi dữ liệu sản phẩm, tồn kho và kiểm tra toàn vẹn</t>
  </si>
  <si>
    <t xml:space="preserve">4.4.1</t>
  </si>
  <si>
    <t xml:space="preserve">Dịch vụ giả lập Main System và dữ liệu kiểm thử tích hợp</t>
  </si>
  <si>
    <t xml:space="preserve">4.4.2</t>
  </si>
  <si>
    <t xml:space="preserve">Kịch bản kiểm thử tích hợp với Main System</t>
  </si>
  <si>
    <t xml:space="preserve">4.4.3</t>
  </si>
  <si>
    <t xml:space="preserve">Kiểm thử tích hợp với Main System trên môi trường thử</t>
  </si>
  <si>
    <t xml:space="preserve">4.4.4</t>
  </si>
  <si>
    <t xml:space="preserve">Sửa lỗi và kiểm thử lại tích hợp với Main System</t>
  </si>
  <si>
    <t xml:space="preserve">4.4.5</t>
  </si>
  <si>
    <t xml:space="preserve">Khắc phục lỗi sau kiểm thử hệ thống</t>
  </si>
  <si>
    <t xml:space="preserve">4.4.6</t>
  </si>
  <si>
    <t xml:space="preserve">Kiểm tra chức năng chính và tích hợp với Main System của Chủ đầu tư</t>
  </si>
  <si>
    <t xml:space="preserve">4.4.7</t>
  </si>
  <si>
    <t xml:space="preserve">Kiểm thử hiệu năng và rà soát an toàn thông tin bản phát hành trên môi trường vận hành</t>
  </si>
  <si>
    <t xml:space="preserve">4.4.8</t>
  </si>
  <si>
    <t xml:space="preserve">Diễn tập chuyển đổi dự phòng, sao lưu và khôi phục trên môi trường vận hành</t>
  </si>
  <si>
    <t xml:space="preserve">4.4.9</t>
  </si>
  <si>
    <t xml:space="preserve">Khắc phục lỗi và điều chỉnh theo kết quả kiểm thử chấp nhận tích hợp với Main System</t>
  </si>
  <si>
    <t xml:space="preserve">4.5.1</t>
  </si>
  <si>
    <t xml:space="preserve">Môi trường vận hành gồm hai nút ứng dụng, cân bằng tải, cơ sở dữ liệu chính và dự phòng</t>
  </si>
  <si>
    <t xml:space="preserve">4.5.2</t>
  </si>
  <si>
    <t xml:space="preserve">Giám sát, cảnh báo và sao lưu tự động trên môi trường vận hành</t>
  </si>
  <si>
    <t xml:space="preserve">4.5.3</t>
  </si>
  <si>
    <t xml:space="preserve">Chuyển đổi thử dữ liệu sản phẩm, tồn kho do Chủ đầu tư cung cấp</t>
  </si>
  <si>
    <t xml:space="preserve">4.5.4</t>
  </si>
  <si>
    <t xml:space="preserve">Nạp hình ảnh và nội dung sản phẩm theo bộ nhận diện của Chủ đầu tư lên môi trường vận hành</t>
  </si>
  <si>
    <t xml:space="preserve">4.5.5</t>
  </si>
  <si>
    <t xml:space="preserve">Rà soát giấy phép thư viện mã nguồn mở và quyền sở hữu sản phẩm</t>
  </si>
  <si>
    <t xml:space="preserve">4.5.6</t>
  </si>
  <si>
    <t xml:space="preserve">Giám sát vận hành và chuẩn bị hỗ trợ tăng cường sau cut over</t>
  </si>
  <si>
    <t xml:space="preserve">5.1.1</t>
  </si>
  <si>
    <t xml:space="preserve">Quản lý yêu cầu thay đổi, phụ lục hợp đồng, theo dõi tiến độ và hồ sơ nghiệm thu phần bán hàng trên sàn thương mại điện tử</t>
  </si>
  <si>
    <t xml:space="preserve">5</t>
  </si>
  <si>
    <t xml:space="preserve">5.2.1</t>
  </si>
  <si>
    <t xml:space="preserve">Khảo sát quy trình bán hàng trên sàn thương mại điện tử và giao diện lập trình của sàn</t>
  </si>
  <si>
    <t xml:space="preserve">5.2.2</t>
  </si>
  <si>
    <t xml:space="preserve">Đặc tả chức năng và use case đồng bộ sản phẩm, tồn kho, giá, nhận đơn, cập nhật trạng thái và đối soát với sàn</t>
  </si>
  <si>
    <t xml:space="preserve">5.2.3</t>
  </si>
  <si>
    <t xml:space="preserve">Thiết kế tích hợp với sàn gồm xác thực, ánh xạ dữ liệu, xử lý lỗi và gửi lại</t>
  </si>
  <si>
    <t xml:space="preserve">5.2.4</t>
  </si>
  <si>
    <t xml:space="preserve">Xác nhận đặc tả bán hàng trên sàn thương mại điện tử của Chủ đầu tư</t>
  </si>
  <si>
    <t xml:space="preserve">5.3.1</t>
  </si>
  <si>
    <t xml:space="preserve">Kết nối sàn gồm xác thực, cấu hình cửa hàng và quản lý khóa truy cập</t>
  </si>
  <si>
    <t xml:space="preserve">5.3.2</t>
  </si>
  <si>
    <t xml:space="preserve">Đồng bộ sản phẩm và giá lên sàn</t>
  </si>
  <si>
    <t xml:space="preserve">5.3.3</t>
  </si>
  <si>
    <t xml:space="preserve">Đồng bộ tồn kho lên sàn</t>
  </si>
  <si>
    <t xml:space="preserve">5.3.4</t>
  </si>
  <si>
    <t xml:space="preserve">Nhận đơn hàng từ sàn vào luồng xử lý đơn hàng</t>
  </si>
  <si>
    <t xml:space="preserve">5.3.5</t>
  </si>
  <si>
    <t xml:space="preserve">Cập nhật trạng thái đơn hàng và vận chuyển lên sàn</t>
  </si>
  <si>
    <t xml:space="preserve">5.3.6</t>
  </si>
  <si>
    <t xml:space="preserve">Đối soát đơn hàng và thanh toán với sàn</t>
  </si>
  <si>
    <t xml:space="preserve">5.3.7</t>
  </si>
  <si>
    <t xml:space="preserve">Giao diện quản trị kênh sàn gồm ánh xạ sản phẩm, theo dõi đồng bộ và kết quả đối soát</t>
  </si>
  <si>
    <t xml:space="preserve">5.4.1</t>
  </si>
  <si>
    <t xml:space="preserve">Kịch bản kiểm thử bán hàng trên sàn thương mại điện tử</t>
  </si>
  <si>
    <t xml:space="preserve">5.4.2</t>
  </si>
  <si>
    <t xml:space="preserve">Kiểm thử tích hợp với môi trường thử của sàn</t>
  </si>
  <si>
    <t xml:space="preserve">5.4.3</t>
  </si>
  <si>
    <t xml:space="preserve">Kiểm thử hệ thống luồng bán hàng trên sàn gồm đồng bộ, nhận đơn, trạng thái và đối soát</t>
  </si>
  <si>
    <t xml:space="preserve">5.4.4</t>
  </si>
  <si>
    <t xml:space="preserve">Khắc phục lỗi và kiểm thử lại sau kiểm thử bán hàng trên sàn</t>
  </si>
  <si>
    <t xml:space="preserve">5.4.5</t>
  </si>
  <si>
    <t xml:space="preserve">Tổ chức và hỗ trợ kiểm thử chấp nhận bán hàng trên sàn cùng Chủ đầu tư</t>
  </si>
  <si>
    <t xml:space="preserve">5.5.1</t>
  </si>
  <si>
    <t xml:space="preserve">Cấu hình kết nối sàn trên môi trường vận hành</t>
  </si>
  <si>
    <t xml:space="preserve">5.5.2</t>
  </si>
  <si>
    <t xml:space="preserve">Tài liệu và buổi hướng dẫn sử dụng bán hàng trên sàn cho cán bộ Chủ đầu tư</t>
  </si>
  <si>
    <t xml:space="preserve">5.5.3</t>
  </si>
  <si>
    <t xml:space="preserve">Bàn giao mã nguồn, tài liệu kỹ thuật và danh mục thư viện phần bán hàng trên sàn thương mại điện tử</t>
  </si>
  <si>
    <t xml:space="preserve">Loại công việc</t>
  </si>
  <si>
    <t xml:space="preserve">Người-tháng</t>
  </si>
  <si>
    <t xml:space="preserve">Thành tiền, đồng</t>
  </si>
  <si>
    <t xml:space="preserve">A. Tổng nhân công</t>
  </si>
  <si>
    <t xml:space="preserve">Mã</t>
  </si>
  <si>
    <t xml:space="preserve">Số tiền, đồng</t>
  </si>
  <si>
    <t xml:space="preserve">Căn cứ</t>
  </si>
  <si>
    <t xml:space="preserve">B1</t>
  </si>
  <si>
    <t xml:space="preserve">Môi trường phát triển, kiểm thử và công cụ</t>
  </si>
  <si>
    <t xml:space="preserve">Ước tính của nhà thầu</t>
  </si>
  <si>
    <t xml:space="preserve">B2</t>
  </si>
  <si>
    <t xml:space="preserve">Bảo hành 12 tháng và hỗ trợ tăng cường sau cut over</t>
  </si>
  <si>
    <t xml:space="preserve">B3</t>
  </si>
  <si>
    <t xml:space="preserve">Dự phòng rủi ro</t>
  </si>
  <si>
    <t xml:space="preserve">Kế hoạch quản lý rủi ro, quyết định của nhóm ngày 18/10/2026</t>
  </si>
  <si>
    <t xml:space="preserve">B. Tổng chi phí khác</t>
  </si>
  <si>
    <t xml:space="preserve">Họ tên</t>
  </si>
  <si>
    <t xml:space="preserve">Nhóm</t>
  </si>
  <si>
    <t xml:space="preserve">Vai trò lương</t>
  </si>
  <si>
    <t xml:space="preserve">Lương tham chiếu, đồng/tháng</t>
  </si>
  <si>
    <t xml:space="preserve">Đơn giá ngày gồm bảo hiểm</t>
  </si>
  <si>
    <t xml:space="preserve">MD huy động</t>
  </si>
  <si>
    <t xml:space="preserve">MD công việc giao</t>
  </si>
  <si>
    <t xml:space="preserve">MD tính lương</t>
  </si>
  <si>
    <t xml:space="preserve">Chi phí lương kế hoạch, đồng</t>
  </si>
  <si>
    <t xml:space="preserve">Lương của ngày huy động, đồng</t>
  </si>
  <si>
    <t xml:space="preserve">dat</t>
  </si>
  <si>
    <t xml:space="preserve">Trần Bá Đạt</t>
  </si>
  <si>
    <t xml:space="preserve">Thành viên nhóm</t>
  </si>
  <si>
    <t xml:space="preserve">tuananh</t>
  </si>
  <si>
    <t xml:space="preserve">Phạm Tuấn Anh</t>
  </si>
  <si>
    <t xml:space="preserve">minh</t>
  </si>
  <si>
    <t xml:space="preserve">Vũ Đức Minh</t>
  </si>
  <si>
    <t xml:space="preserve">toan</t>
  </si>
  <si>
    <t xml:space="preserve">Ninh Đức Toàn</t>
  </si>
  <si>
    <t xml:space="preserve">lien</t>
  </si>
  <si>
    <t xml:space="preserve">Nguyễn Thị Phương Liên</t>
  </si>
  <si>
    <t xml:space="preserve">K</t>
  </si>
  <si>
    <t xml:space="preserve">Nguyễn Hoàng Nam</t>
  </si>
  <si>
    <t xml:space="preserve">Vị trí bổ sung</t>
  </si>
  <si>
    <t xml:space="preserve">D1</t>
  </si>
  <si>
    <t xml:space="preserve">Lê Quang Huy</t>
  </si>
  <si>
    <t xml:space="preserve">D2</t>
  </si>
  <si>
    <t xml:space="preserve">Đỗ Minh Quân</t>
  </si>
  <si>
    <t xml:space="preserve">D3</t>
  </si>
  <si>
    <t xml:space="preserve">Bùi Anh Tuấn</t>
  </si>
  <si>
    <t xml:space="preserve">Q1</t>
  </si>
  <si>
    <t xml:space="preserve">Trần Thu Hà</t>
  </si>
  <si>
    <t xml:space="preserve">Q2</t>
  </si>
  <si>
    <t xml:space="preserve">Phạm Ngọc Anh</t>
  </si>
  <si>
    <t xml:space="preserve">D4</t>
  </si>
  <si>
    <t xml:space="preserve">Trương Quốc Việt</t>
  </si>
  <si>
    <t xml:space="preserve">Tổng</t>
  </si>
  <si>
    <t xml:space="preserve">Chênh lệch dòng A so với chi phí lương kế hoạch theo người</t>
  </si>
  <si>
    <t xml:space="preserve">Năng suất tối thiểu để dòng A đủ chi trả</t>
  </si>
  <si>
    <t xml:space="preserve">MD tính lương hòa vốn (dòng A chia lương bình quân mỗi MD tính lương)</t>
  </si>
  <si>
    <t xml:space="preserve">Năng lực: tỷ lệ sử dụng quỹ huy động (MD WBS chia MD huy động)</t>
  </si>
  <si>
    <t xml:space="preserve">Năng lực: MD huy động hòa vốn (dòng A chia lương bình quân mỗi MD huy động)</t>
  </si>
  <si>
    <t xml:space="preserve">Năng lực: tỷ lệ sử dụng hòa vốn khi trả theo huy động</t>
  </si>
  <si>
    <t xml:space="preserve">MD tính lương theo cách trả lương ở sheet Tham_so. Lương của ngày huy động dùng để theo dõi năng lực, chỉ là chi phí khi trả theo huy động.</t>
  </si>
  <si>
    <t xml:space="preserve">Hạng mục Mẫu 01A</t>
  </si>
  <si>
    <t xml:space="preserve">Tỷ lệ chia</t>
  </si>
  <si>
    <t xml:space="preserve">Chi phí A phân bổ, đồng</t>
  </si>
  <si>
    <t xml:space="preserve">Phân bổ giá hợp đồng hiện hành theo hạng mục Mẫu 01A (Mẫu 11A của HSDT đã khóa, giữ giá dự thầu ban đầu)</t>
  </si>
  <si>
    <t xml:space="preserve">STT</t>
  </si>
  <si>
    <t xml:space="preserve">Danh mục dịch vụ</t>
  </si>
  <si>
    <t xml:space="preserve">Khối lượng</t>
  </si>
  <si>
    <t xml:space="preserve">Đơn vị</t>
  </si>
  <si>
    <t xml:space="preserve">Phân tích hệ thống và lập đặc tả hệ thống (Specification)</t>
  </si>
  <si>
    <t xml:space="preserve">Gói</t>
  </si>
  <si>
    <t xml:space="preserve">Thiết kế quy trình vận hành mới (New Operational Flow)</t>
  </si>
  <si>
    <t xml:space="preserve">Thiết kế cấu trúc cơ sở dữ liệu (Database Structure) của Selling DB</t>
  </si>
  <si>
    <t xml:space="preserve">Thiết kế sơ đồ phân cấp menu (Menu Layer) và giao diện ưu tiên</t>
  </si>
  <si>
    <t xml:space="preserve">Xây dựng chức năng tìm kiếm sản phẩm (Product Search)</t>
  </si>
  <si>
    <t xml:space="preserve">Xây dựng chức năng quản lý thành viên (Member Administration)</t>
  </si>
  <si>
    <t xml:space="preserve">Xây dựng chức năng đặt hàng (Order)</t>
  </si>
  <si>
    <t xml:space="preserve">Xây dựng cơ sở dữ liệu bán hàng (Selling DB)</t>
  </si>
  <si>
    <t xml:space="preserve">Tích hợp với hệ thống chính (Main System)</t>
  </si>
  <si>
    <t xml:space="preserve">Kiểm thử hệ thống</t>
  </si>
  <si>
    <t xml:space="preserve">Kiểm thử vận hành (Operation Test)</t>
  </si>
  <si>
    <t xml:space="preserve">Chuyển giao và hướng dẫn vận hành hệ thống</t>
  </si>
  <si>
    <t xml:space="preserve">Hỗ trợ đưa hệ thống vào vận hành (cut over)</t>
  </si>
  <si>
    <t xml:space="preserve">Tổng cộng</t>
  </si>
  <si>
    <t xml:space="preserve">Thành tiền phân bổ theo tỷ trọng chi phí nhân công của hạng mục. Dòng cuối nhận phần làm tròn để tổng bằng đúng giá chào.</t>
  </si>
  <si>
    <t xml:space="preserve">Mã nhóm</t>
  </si>
  <si>
    <t xml:space="preserve">Nhóm WBS mức 1</t>
  </si>
  <si>
    <t xml:space="preserve">Chi phí A, đồng</t>
  </si>
  <si>
    <t xml:space="preserve">Giá phân bổ, đồng</t>
  </si>
  <si>
    <t xml:space="preserve">Phân hệ quản lý sản phẩm</t>
  </si>
  <si>
    <t xml:space="preserve">Phân hệ quản lý khách hàng (thành viên)</t>
  </si>
  <si>
    <t xml:space="preserve">Phân hệ quản lý đơn hàng (đặt hàng)</t>
  </si>
  <si>
    <t xml:space="preserve">Phân hệ tích hợp hệ thống</t>
  </si>
  <si>
    <t xml:space="preserve">Bán hàng trên sàn thương mại điện tử</t>
  </si>
  <si>
    <t xml:space="preserve">Chi phí A của nhóm cộng từ sheet WBS_MD theo cột Nhóm mức 1. Giá phân bổ theo tỷ trọng chi phí A của nhóm, dòng cuối nhận phần làm tròn để tổng bằng đúng giá chào.</t>
  </si>
  <si>
    <t xml:space="preserve">Đợt</t>
  </si>
  <si>
    <t xml:space="preserve">Tỷ lệ</t>
  </si>
  <si>
    <t xml:space="preserve">Sự kiện</t>
  </si>
  <si>
    <t xml:space="preserve">Sprint thu</t>
  </si>
  <si>
    <t xml:space="preserve">Ngày thu dự kiến</t>
  </si>
  <si>
    <t xml:space="preserve">Ngày sự kiện</t>
  </si>
  <si>
    <t xml:space="preserve">Giá làm cơ sở, đồng</t>
  </si>
  <si>
    <t xml:space="preserve">Cơ sở</t>
  </si>
  <si>
    <t xml:space="preserve">tạm ứng</t>
  </si>
  <si>
    <t xml:space="preserve">S2</t>
  </si>
  <si>
    <t xml:space="preserve">Giá hợp đồng ban đầu</t>
  </si>
  <si>
    <t xml:space="preserve">hai bên xác nhận đặc tả yêu cầu (baseline) và giao diện ưu tiên</t>
  </si>
  <si>
    <t xml:space="preserve">S5</t>
  </si>
  <si>
    <t xml:space="preserve">hoàn thành các chức năng chính của hệ thống và tích hợp với các hệ thống liên quan</t>
  </si>
  <si>
    <t xml:space="preserve">S9</t>
  </si>
  <si>
    <t xml:space="preserve">hệ thống đưa vào vận hành và được nghiệm thu</t>
  </si>
  <si>
    <t xml:space="preserve">Sau cut over</t>
  </si>
  <si>
    <t xml:space="preserve">nhà thầu nộp bảo lãnh bảo hành</t>
  </si>
  <si>
    <t xml:space="preserve">Chủ đầu tư nghiệm thu phần bán hàng trên sàn thương mại điện tử theo yêu cầu thay đổi CR01</t>
  </si>
  <si>
    <t xml:space="preserve">Giá điều chỉnh CR01 theo 01/2027/PL-ABCW</t>
  </si>
  <si>
    <t xml:space="preserve">Ngày thu dự kiến = ngày sự kiện + 15 ngày (thời hạn thanh toán theo HSMT). Lũy kế chi tính theo cách trả lương ở sheet Tham_so, cộng chi phí khác theo kỳ chi (dự phòng rủi ro không đưa vào dòng chi). Đợt gốc tính trên giá hợp đồng ban đầu khi phụ lục có đợt thanh toán riêng, đợt đã thu trước ngày phụ lục không tính lại.</t>
  </si>
  <si>
    <t xml:space="preserve">Sprint</t>
  </si>
  <si>
    <t xml:space="preserve">Chi lương theo MD công việc</t>
  </si>
  <si>
    <t xml:space="preserve">Chi lương theo huy động</t>
  </si>
  <si>
    <t xml:space="preserve">Thu theo đợt</t>
  </si>
  <si>
    <t xml:space="preserve">Lũy kế chi (theo cách trả lương, cộng chi phí khác)</t>
  </si>
  <si>
    <t xml:space="preserve">Lũy kế thu</t>
  </si>
  <si>
    <t xml:space="preserve">Chênh lệch lũy kế</t>
  </si>
  <si>
    <t xml:space="preserve">Chi phí khác (không gồm dự phòng)</t>
  </si>
  <si>
    <t xml:space="preserve">S1</t>
  </si>
  <si>
    <t xml:space="preserve">S3</t>
  </si>
  <si>
    <t xml:space="preserve">S4</t>
  </si>
  <si>
    <t xml:space="preserve">S6</t>
  </si>
  <si>
    <t xml:space="preserve">S7</t>
  </si>
  <si>
    <t xml:space="preserve">S8</t>
  </si>
  <si>
    <t xml:space="preserve">Kiểm tra tổng chi phí khác theo kỳ</t>
  </si>
  <si>
    <t xml:space="preserve">Mã thành viên</t>
  </si>
  <si>
    <t xml:space="preserve">Đơn giá ngày</t>
  </si>
  <si>
    <t xml:space="preserve">Chi lương, đồng</t>
  </si>
  <si>
    <t xml:space="preserve">Kỳ dòng tiền</t>
  </si>
  <si>
    <t xml:space="preserve">KT</t>
  </si>
  <si>
    <t xml:space="preserve">Kỳ dòng tiền: sprint giữ mã, kỳ KT (huy động giai đoạn Kết thúc) tính vào cột Sau cut over của sheet Dong_tien.</t>
  </si>
  <si>
    <t xml:space="preserve">MD kế hoạch</t>
  </si>
  <si>
    <t xml:space="preserve">Kỳ dòng tiền: sprint giữ mã, kỳ KT (giai đoạn Kết thúc sau cut over) tính vào cột Sau cut over của sheet Dong_tien.</t>
  </si>
</sst>
</file>

<file path=xl/styles.xml><?xml version="1.0" encoding="utf-8"?>
<styleSheet xmlns="http://schemas.openxmlformats.org/spreadsheetml/2006/main">
  <numFmts count="8">
    <numFmt numFmtId="164" formatCode="General"/>
    <numFmt numFmtId="165" formatCode="#,##0;\(#,##0\);\-"/>
    <numFmt numFmtId="166" formatCode="0.0%;\(0.0%\);\-"/>
    <numFmt numFmtId="167" formatCode="0"/>
    <numFmt numFmtId="168" formatCode="0.000"/>
    <numFmt numFmtId="169" formatCode="#,##0.00;\(#,##0.00\);\-"/>
    <numFmt numFmtId="170" formatCode="0.0000"/>
    <numFmt numFmtId="171" formatCode="dd/mm/yyyy"/>
  </numFmts>
  <fonts count="10">
    <font>
      <sz val="11"/>
      <color theme="1"/>
      <name val="Calibri"/>
      <family val="2"/>
      <charset val="1"/>
    </font>
    <font>
      <sz val="10"/>
      <name val="Arial"/>
      <family val="0"/>
    </font>
    <font>
      <sz val="10"/>
      <name val="Arial"/>
      <family val="0"/>
    </font>
    <font>
      <sz val="10"/>
      <name val="Arial"/>
      <family val="0"/>
    </font>
    <font>
      <b val="true"/>
      <sz val="14"/>
      <name val="Times New Roman"/>
      <family val="0"/>
      <charset val="1"/>
    </font>
    <font>
      <sz val="11"/>
      <name val="Times New Roman"/>
      <family val="0"/>
      <charset val="1"/>
    </font>
    <font>
      <b val="true"/>
      <sz val="11"/>
      <name val="Times New Roman"/>
      <family val="0"/>
      <charset val="1"/>
    </font>
    <font>
      <sz val="11"/>
      <color rgb="FF008000"/>
      <name val="Times New Roman"/>
      <family val="0"/>
      <charset val="1"/>
    </font>
    <font>
      <i val="true"/>
      <sz val="10"/>
      <name val="Times New Roman"/>
      <family val="0"/>
      <charset val="1"/>
    </font>
    <font>
      <sz val="11"/>
      <color rgb="FF0000FF"/>
      <name val="Times New Roman"/>
      <family val="0"/>
      <charset val="1"/>
    </font>
  </fonts>
  <fills count="3">
    <fill>
      <patternFill patternType="none"/>
    </fill>
    <fill>
      <patternFill patternType="gray125"/>
    </fill>
    <fill>
      <patternFill patternType="solid">
        <fgColor rgb="FFD9E1F2"/>
        <bgColor rgb="FFCC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62"/>
    <col collapsed="false" customWidth="true" hidden="false" outlineLevel="0" max="2" min="2" style="0" width="2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3" t="s">
        <v>3</v>
      </c>
    </row>
    <row r="4" customFormat="false" ht="15" hidden="false" customHeight="false" outlineLevel="0" collapsed="false">
      <c r="A4" s="4" t="s">
        <v>4</v>
      </c>
      <c r="B4" s="5" t="n">
        <f aca="false">Nhan_cong!$F$7</f>
        <v>1581550000</v>
      </c>
    </row>
    <row r="5" customFormat="false" ht="15" hidden="false" customHeight="false" outlineLevel="0" collapsed="false">
      <c r="A5" s="4" t="s">
        <v>5</v>
      </c>
      <c r="B5" s="5" t="n">
        <f aca="false">Chi_phi_khac!$C$5</f>
        <v>150000000</v>
      </c>
    </row>
    <row r="6" customFormat="false" ht="15" hidden="false" customHeight="false" outlineLevel="0" collapsed="false">
      <c r="A6" s="4" t="s">
        <v>6</v>
      </c>
      <c r="B6" s="6" t="n">
        <f aca="false">0</f>
        <v>0</v>
      </c>
    </row>
    <row r="7" customFormat="false" ht="15" hidden="false" customHeight="false" outlineLevel="0" collapsed="false">
      <c r="A7" s="2" t="s">
        <v>7</v>
      </c>
      <c r="B7" s="6" t="n">
        <f aca="false">B4+B5+B6</f>
        <v>1731550000</v>
      </c>
    </row>
    <row r="8" customFormat="false" ht="15" hidden="false" customHeight="false" outlineLevel="0" collapsed="false">
      <c r="A8" s="4" t="s">
        <v>8</v>
      </c>
      <c r="B8" s="5" t="n">
        <f aca="false">Tham_so!$B$7</f>
        <v>1949024682</v>
      </c>
    </row>
    <row r="9" customFormat="false" ht="15" hidden="false" customHeight="false" outlineLevel="0" collapsed="false">
      <c r="A9" s="2" t="s">
        <v>9</v>
      </c>
      <c r="B9" s="6" t="n">
        <f aca="false">B8/(1+Tham_so!$B$8)</f>
        <v>1949024682</v>
      </c>
    </row>
    <row r="10" customFormat="false" ht="15" hidden="false" customHeight="false" outlineLevel="0" collapsed="false">
      <c r="A10" s="2" t="s">
        <v>10</v>
      </c>
      <c r="B10" s="6" t="n">
        <f aca="false">B8-B9</f>
        <v>0</v>
      </c>
    </row>
    <row r="11" customFormat="false" ht="15" hidden="false" customHeight="false" outlineLevel="0" collapsed="false">
      <c r="A11" s="4" t="s">
        <v>11</v>
      </c>
      <c r="B11" s="6" t="n">
        <f aca="false">B9-B7</f>
        <v>217474682</v>
      </c>
    </row>
    <row r="12" customFormat="false" ht="15" hidden="false" customHeight="false" outlineLevel="0" collapsed="false">
      <c r="A12" s="2" t="s">
        <v>12</v>
      </c>
      <c r="B12" s="7" t="n">
        <f aca="false">IF(B9=0,0,B11/B9)</f>
        <v>0.111581286788445</v>
      </c>
    </row>
    <row r="13" customFormat="false" ht="15" hidden="false" customHeight="false" outlineLevel="0" collapsed="false">
      <c r="A13" s="2" t="s">
        <v>13</v>
      </c>
      <c r="B13" s="5" t="n">
        <f aca="false">Tham_so!$B$13</f>
        <v>2000000000</v>
      </c>
    </row>
    <row r="14" customFormat="false" ht="15" hidden="false" customHeight="false" outlineLevel="0" collapsed="false">
      <c r="A14" s="2" t="s">
        <v>14</v>
      </c>
      <c r="B14" s="6" t="n">
        <f aca="false">B13-(B8-Tham_so!$B$14)</f>
        <v>250000000</v>
      </c>
    </row>
    <row r="15" customFormat="false" ht="15" hidden="false" customHeight="false" outlineLevel="0" collapsed="false">
      <c r="A15" s="2" t="s">
        <v>15</v>
      </c>
      <c r="B15" s="7" t="n">
        <f aca="false">IF(B13=0,0,B14/B13)</f>
        <v>0.125</v>
      </c>
    </row>
    <row r="16" customFormat="false" ht="15" hidden="false" customHeight="false" outlineLevel="0" collapsed="false">
      <c r="A16" s="2" t="s">
        <v>16</v>
      </c>
      <c r="B16" s="2" t="str">
        <f aca="false">IF(B8-Tham_so!$B$14&lt;=B13,"Đạt","Vượt giá gói thầu")</f>
        <v>Đạt</v>
      </c>
    </row>
    <row r="17" customFormat="false" ht="15" hidden="false" customHeight="false" outlineLevel="0" collapsed="false">
      <c r="A17" s="2" t="s">
        <v>17</v>
      </c>
      <c r="B17" s="2" t="str">
        <f aca="false">IF(B12&gt;=Tham_so!$B$11,"Đạt","Dưới mức tối thiểu")</f>
        <v>Đạt</v>
      </c>
    </row>
    <row r="18" customFormat="false" ht="15" hidden="false" customHeight="false" outlineLevel="0" collapsed="false">
      <c r="A18" s="2" t="s">
        <v>18</v>
      </c>
      <c r="B18" s="5" t="n">
        <f aca="false">Tham_so!$B$16</f>
        <v>115413014</v>
      </c>
    </row>
    <row r="19" customFormat="false" ht="15" hidden="false" customHeight="false" outlineLevel="0" collapsed="false">
      <c r="A19" s="2" t="s">
        <v>19</v>
      </c>
      <c r="B19" s="6" t="n">
        <f aca="false">IF(ISBLANK(Tham_so!$B$18),B5,Tham_so!$B$18)</f>
        <v>50000000</v>
      </c>
    </row>
    <row r="20" customFormat="false" ht="15" hidden="false" customHeight="false" outlineLevel="0" collapsed="false">
      <c r="A20" s="2" t="s">
        <v>20</v>
      </c>
      <c r="B20" s="2" t="str">
        <f aca="false">IF(B19&gt;=B18,"Đủ","Thiếu")</f>
        <v>Thiếu</v>
      </c>
    </row>
    <row r="21" customFormat="false" ht="15" hidden="false" customHeight="false" outlineLevel="0" collapsed="false">
      <c r="A21" s="2" t="s">
        <v>21</v>
      </c>
      <c r="B21" s="6" t="n">
        <f aca="false">B8/(1+Tham_so!$B$9)</f>
        <v>1771840620</v>
      </c>
    </row>
    <row r="22" customFormat="false" ht="15" hidden="false" customHeight="false" outlineLevel="0" collapsed="false">
      <c r="A22" s="2" t="s">
        <v>22</v>
      </c>
      <c r="B22" s="6" t="n">
        <f aca="false">B21-B7</f>
        <v>40290619.9999998</v>
      </c>
    </row>
    <row r="23" customFormat="false" ht="15" hidden="false" customHeight="false" outlineLevel="0" collapsed="false">
      <c r="A23" s="2" t="s">
        <v>23</v>
      </c>
      <c r="B23" s="6" t="n">
        <f aca="false">Doi_chieu_nguoi!$J$14</f>
        <v>1327839440.90909</v>
      </c>
    </row>
    <row r="24" customFormat="false" ht="15" hidden="false" customHeight="false" outlineLevel="0" collapsed="false">
      <c r="A24" s="2" t="s">
        <v>24</v>
      </c>
      <c r="B24" s="6" t="n">
        <f aca="false">B9-B23-B5-B6</f>
        <v>471185241.090909</v>
      </c>
    </row>
    <row r="25" customFormat="false" ht="15" hidden="false" customHeight="false" outlineLevel="0" collapsed="false">
      <c r="A25" s="2" t="s">
        <v>25</v>
      </c>
      <c r="B25" s="7" t="n">
        <f aca="false">IF(B9=0,0,B24/B9)</f>
        <v>0.241754373581047</v>
      </c>
    </row>
    <row r="26" customFormat="false" ht="15" hidden="false" customHeight="false" outlineLevel="0" collapsed="false">
      <c r="A26" s="2" t="s">
        <v>26</v>
      </c>
      <c r="B26" s="2" t="str">
        <f aca="false">IF(B24&gt;=0,"Đạt","Không đủ")</f>
        <v>Đạt</v>
      </c>
    </row>
    <row r="27" customFormat="false" ht="15" hidden="false" customHeight="false" outlineLevel="0" collapsed="false">
      <c r="A27" s="2" t="s">
        <v>27</v>
      </c>
      <c r="B27" s="2" t="str">
        <f aca="false">IF(B25&gt;=Tham_so!$B$11,"Đạt","Dưới mức tối thiểu")</f>
        <v>Đạt</v>
      </c>
    </row>
    <row r="28" customFormat="false" ht="15" hidden="false" customHeight="false" outlineLevel="0" collapsed="false">
      <c r="A28" s="2" t="s">
        <v>28</v>
      </c>
      <c r="B28" s="6" t="n">
        <f aca="false">B21-B23-B5-B6</f>
        <v>294001179.090909</v>
      </c>
    </row>
    <row r="30" customFormat="false" ht="15" hidden="false" customHeight="false" outlineLevel="0" collapsed="false">
      <c r="A30" s="8" t="s">
        <v>29</v>
      </c>
    </row>
    <row r="31" customFormat="false" ht="15" hidden="false" customHeight="false" outlineLevel="0" collapsed="false">
      <c r="A31" s="8" t="s">
        <v>30</v>
      </c>
    </row>
    <row r="32" customFormat="false" ht="15" hidden="false" customHeight="false" outlineLevel="0" collapsed="false">
      <c r="A32" s="8" t="s">
        <v>31</v>
      </c>
    </row>
  </sheetData>
  <conditionalFormatting sqref="B16:B17">
    <cfRule type="expression" priority="2" aboveAverage="0" equalAverage="0" bottom="0" percent="0" rank="0" text="" dxfId="0">
      <formula>AND(B16&lt;&gt;"Đạt",B16&lt;&gt;"")</formula>
    </cfRule>
  </conditionalFormatting>
  <conditionalFormatting sqref="B20">
    <cfRule type="expression" priority="3" aboveAverage="0" equalAverage="0" bottom="0" percent="0" rank="0" text="" dxfId="0">
      <formula>B20="Thiếu"</formula>
    </cfRule>
  </conditionalFormatting>
  <conditionalFormatting sqref="B26:B27">
    <cfRule type="expression" priority="4" aboveAverage="0" equalAverage="0" bottom="0" percent="0" rank="0" text="" dxfId="0">
      <formula>AND(B26&lt;&gt;"Đạt",B26&lt;&gt;"")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15625" defaultRowHeight="15" customHeight="false"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70"/>
  </cols>
  <sheetData>
    <row r="1" customFormat="false" ht="17.35" hidden="false" customHeight="false" outlineLevel="0" collapsed="false">
      <c r="A1" s="1" t="s">
        <v>32</v>
      </c>
    </row>
    <row r="3" customFormat="false" ht="15" hidden="false" customHeight="false" outlineLevel="0" collapsed="false">
      <c r="A3" s="3" t="s">
        <v>33</v>
      </c>
      <c r="B3" s="3" t="s">
        <v>34</v>
      </c>
      <c r="C3" s="3" t="s">
        <v>35</v>
      </c>
    </row>
    <row r="4" customFormat="false" ht="15" hidden="false" customHeight="false" outlineLevel="0" collapsed="false">
      <c r="A4" s="2" t="s">
        <v>36</v>
      </c>
      <c r="B4" s="9" t="n">
        <v>20</v>
      </c>
      <c r="C4" s="10" t="s">
        <v>37</v>
      </c>
    </row>
    <row r="5" customFormat="false" ht="25" hidden="false" customHeight="false" outlineLevel="0" collapsed="false">
      <c r="A5" s="2" t="s">
        <v>38</v>
      </c>
      <c r="B5" s="11" t="n">
        <v>1.235</v>
      </c>
      <c r="C5" s="10" t="s">
        <v>39</v>
      </c>
    </row>
    <row r="6" customFormat="false" ht="15" hidden="false" customHeight="false" outlineLevel="0" collapsed="false">
      <c r="A6" s="2" t="s">
        <v>40</v>
      </c>
      <c r="B6" s="9" t="n">
        <v>22</v>
      </c>
      <c r="C6" s="10" t="s">
        <v>37</v>
      </c>
    </row>
    <row r="7" customFormat="false" ht="15" hidden="false" customHeight="false" outlineLevel="0" collapsed="false">
      <c r="A7" s="2" t="s">
        <v>41</v>
      </c>
      <c r="B7" s="12" t="n">
        <v>1949024682</v>
      </c>
      <c r="C7" s="10" t="s">
        <v>37</v>
      </c>
    </row>
    <row r="8" customFormat="false" ht="25" hidden="false" customHeight="false" outlineLevel="0" collapsed="false">
      <c r="A8" s="2" t="s">
        <v>42</v>
      </c>
      <c r="B8" s="13" t="n">
        <v>0</v>
      </c>
      <c r="C8" s="10" t="s">
        <v>43</v>
      </c>
    </row>
    <row r="9" customFormat="false" ht="15" hidden="false" customHeight="false" outlineLevel="0" collapsed="false">
      <c r="A9" s="2" t="s">
        <v>44</v>
      </c>
      <c r="B9" s="13" t="n">
        <v>0.1</v>
      </c>
      <c r="C9" s="10" t="s">
        <v>37</v>
      </c>
    </row>
    <row r="10" customFormat="false" ht="15" hidden="false" customHeight="false" outlineLevel="0" collapsed="false">
      <c r="A10" s="2" t="s">
        <v>45</v>
      </c>
      <c r="B10" s="9" t="n">
        <v>15</v>
      </c>
      <c r="C10" s="10" t="s">
        <v>37</v>
      </c>
    </row>
    <row r="11" customFormat="false" ht="15" hidden="false" customHeight="false" outlineLevel="0" collapsed="false">
      <c r="A11" s="2" t="s">
        <v>46</v>
      </c>
      <c r="B11" s="13" t="n">
        <v>0.05</v>
      </c>
      <c r="C11" s="10" t="s">
        <v>37</v>
      </c>
    </row>
    <row r="12" customFormat="false" ht="15" hidden="false" customHeight="false" outlineLevel="0" collapsed="false">
      <c r="A12" s="2" t="s">
        <v>47</v>
      </c>
      <c r="B12" s="13" t="n">
        <v>0.12</v>
      </c>
      <c r="C12" s="10" t="s">
        <v>37</v>
      </c>
    </row>
    <row r="13" customFormat="false" ht="15" hidden="false" customHeight="false" outlineLevel="0" collapsed="false">
      <c r="A13" s="2" t="s">
        <v>48</v>
      </c>
      <c r="B13" s="12" t="n">
        <v>2000000000</v>
      </c>
      <c r="C13" s="10" t="s">
        <v>49</v>
      </c>
    </row>
    <row r="14" customFormat="false" ht="15" hidden="false" customHeight="false" outlineLevel="0" collapsed="false">
      <c r="A14" s="2" t="s">
        <v>50</v>
      </c>
      <c r="B14" s="12" t="n">
        <v>199024682</v>
      </c>
      <c r="C14" s="10" t="s">
        <v>51</v>
      </c>
    </row>
    <row r="15" customFormat="false" ht="15" hidden="false" customHeight="false" outlineLevel="0" collapsed="false">
      <c r="A15" s="2" t="s">
        <v>52</v>
      </c>
      <c r="B15" s="12" t="n">
        <v>199024682</v>
      </c>
      <c r="C15" s="10" t="s">
        <v>53</v>
      </c>
    </row>
    <row r="16" customFormat="false" ht="15" hidden="false" customHeight="false" outlineLevel="0" collapsed="false">
      <c r="A16" s="2" t="s">
        <v>54</v>
      </c>
      <c r="B16" s="12" t="n">
        <v>115413014</v>
      </c>
      <c r="C16" s="10" t="s">
        <v>55</v>
      </c>
    </row>
    <row r="17" customFormat="false" ht="15" hidden="false" customHeight="false" outlineLevel="0" collapsed="false">
      <c r="A17" s="2" t="s">
        <v>56</v>
      </c>
      <c r="B17" s="13" t="n">
        <v>0</v>
      </c>
      <c r="C17" s="10" t="s">
        <v>37</v>
      </c>
    </row>
    <row r="18" customFormat="false" ht="15" hidden="false" customHeight="false" outlineLevel="0" collapsed="false">
      <c r="A18" s="2" t="s">
        <v>57</v>
      </c>
      <c r="B18" s="12" t="n">
        <v>50000000</v>
      </c>
      <c r="C18" s="10" t="s">
        <v>37</v>
      </c>
    </row>
    <row r="19" customFormat="false" ht="15" hidden="false" customHeight="false" outlineLevel="0" collapsed="false">
      <c r="A19" s="2" t="s">
        <v>58</v>
      </c>
      <c r="B19" s="14" t="s">
        <v>59</v>
      </c>
      <c r="C19" s="10" t="s">
        <v>37</v>
      </c>
    </row>
    <row r="21" customFormat="false" ht="15" hidden="false" customHeight="false" outlineLevel="0" collapsed="false">
      <c r="A21" s="4" t="s">
        <v>60</v>
      </c>
    </row>
    <row r="22" customFormat="false" ht="15" hidden="false" customHeight="false" outlineLevel="0" collapsed="false">
      <c r="A22" s="3" t="s">
        <v>61</v>
      </c>
      <c r="B22" s="3" t="s">
        <v>62</v>
      </c>
      <c r="C22" s="3" t="s">
        <v>63</v>
      </c>
    </row>
    <row r="23" customFormat="false" ht="15" hidden="false" customHeight="false" outlineLevel="0" collapsed="false">
      <c r="A23" s="14" t="s">
        <v>64</v>
      </c>
      <c r="B23" s="14" t="s">
        <v>65</v>
      </c>
      <c r="C23" s="12" t="n">
        <v>55000000</v>
      </c>
    </row>
    <row r="24" customFormat="false" ht="15" hidden="false" customHeight="false" outlineLevel="0" collapsed="false">
      <c r="A24" s="14" t="s">
        <v>66</v>
      </c>
      <c r="B24" s="14" t="s">
        <v>67</v>
      </c>
      <c r="C24" s="12" t="n">
        <v>43000000</v>
      </c>
    </row>
    <row r="25" customFormat="false" ht="15" hidden="false" customHeight="false" outlineLevel="0" collapsed="false">
      <c r="A25" s="14" t="s">
        <v>68</v>
      </c>
      <c r="B25" s="14" t="s">
        <v>69</v>
      </c>
      <c r="C25" s="12" t="n">
        <v>40000000</v>
      </c>
    </row>
    <row r="26" customFormat="false" ht="15" hidden="false" customHeight="false" outlineLevel="0" collapsed="false">
      <c r="A26" s="14" t="s">
        <v>70</v>
      </c>
      <c r="B26" s="14" t="s">
        <v>71</v>
      </c>
      <c r="C26" s="12" t="n">
        <v>42000000</v>
      </c>
    </row>
    <row r="27" customFormat="false" ht="15" hidden="false" customHeight="false" outlineLevel="0" collapsed="false">
      <c r="A27" s="14" t="s">
        <v>72</v>
      </c>
      <c r="B27" s="14" t="s">
        <v>73</v>
      </c>
      <c r="C27" s="12" t="n">
        <v>52000000</v>
      </c>
    </row>
    <row r="29" customFormat="false" ht="15" hidden="false" customHeight="false" outlineLevel="0" collapsed="false">
      <c r="A29" s="4" t="s">
        <v>74</v>
      </c>
    </row>
    <row r="30" customFormat="false" ht="15" hidden="false" customHeight="false" outlineLevel="0" collapsed="false">
      <c r="A30" s="3" t="s">
        <v>75</v>
      </c>
      <c r="B30" s="3" t="s">
        <v>62</v>
      </c>
      <c r="C30" s="3" t="s">
        <v>76</v>
      </c>
    </row>
    <row r="31" customFormat="false" ht="15" hidden="false" customHeight="false" outlineLevel="0" collapsed="false">
      <c r="A31" s="14" t="s">
        <v>77</v>
      </c>
      <c r="B31" s="14" t="s">
        <v>78</v>
      </c>
      <c r="C31" s="12" t="n">
        <v>51000000</v>
      </c>
    </row>
    <row r="32" customFormat="false" ht="15" hidden="false" customHeight="false" outlineLevel="0" collapsed="false">
      <c r="A32" s="14" t="s">
        <v>79</v>
      </c>
      <c r="B32" s="14" t="s">
        <v>80</v>
      </c>
      <c r="C32" s="12" t="n">
        <v>30000000</v>
      </c>
    </row>
    <row r="33" customFormat="false" ht="15" hidden="false" customHeight="false" outlineLevel="0" collapsed="false">
      <c r="A33" s="14" t="s">
        <v>81</v>
      </c>
      <c r="B33" s="14" t="s">
        <v>82</v>
      </c>
      <c r="C33" s="12" t="n">
        <v>28000000</v>
      </c>
    </row>
    <row r="34" customFormat="false" ht="15" hidden="false" customHeight="false" outlineLevel="0" collapsed="false">
      <c r="A34" s="14" t="s">
        <v>83</v>
      </c>
      <c r="B34" s="14" t="s">
        <v>84</v>
      </c>
      <c r="C34" s="12" t="n">
        <v>27000000</v>
      </c>
    </row>
    <row r="35" customFormat="false" ht="15" hidden="false" customHeight="false" outlineLevel="0" collapsed="false">
      <c r="A35" s="14" t="s">
        <v>85</v>
      </c>
      <c r="B35" s="14" t="s">
        <v>86</v>
      </c>
      <c r="C35" s="12" t="n">
        <v>47000000</v>
      </c>
    </row>
    <row r="36" customFormat="false" ht="15" hidden="false" customHeight="false" outlineLevel="0" collapsed="false">
      <c r="A36" s="14" t="s">
        <v>87</v>
      </c>
      <c r="B36" s="14" t="s">
        <v>88</v>
      </c>
      <c r="C36" s="12" t="n">
        <v>24000000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4" min="3" style="0" width="8"/>
    <col collapsed="false" customWidth="true" hidden="false" outlineLevel="0" max="5" min="5" style="0" width="10"/>
    <col collapsed="false" customWidth="true" hidden="false" outlineLevel="0" max="6" min="6" style="0" width="18"/>
  </cols>
  <sheetData>
    <row r="1" customFormat="false" ht="25" hidden="false" customHeight="false" outlineLevel="0" collapsed="false">
      <c r="A1" s="3" t="s">
        <v>89</v>
      </c>
      <c r="B1" s="3" t="s">
        <v>90</v>
      </c>
      <c r="C1" s="3" t="s">
        <v>91</v>
      </c>
      <c r="D1" s="3" t="s">
        <v>92</v>
      </c>
      <c r="E1" s="3" t="s">
        <v>93</v>
      </c>
      <c r="F1" s="3" t="s">
        <v>94</v>
      </c>
    </row>
    <row r="2" customFormat="false" ht="15" hidden="false" customHeight="false" outlineLevel="0" collapsed="false">
      <c r="A2" s="14" t="s">
        <v>95</v>
      </c>
      <c r="B2" s="14" t="s">
        <v>96</v>
      </c>
      <c r="C2" s="14" t="s">
        <v>64</v>
      </c>
      <c r="D2" s="15" t="n">
        <v>2</v>
      </c>
      <c r="E2" s="14" t="s">
        <v>97</v>
      </c>
      <c r="F2" s="6" t="n">
        <f aca="false">D2/Tham_so!$B$4*INDEX(Tham_so!$C$23:$C$27,MATCH(C2,Tham_so!$A$23:$A$27,0))</f>
        <v>5500000</v>
      </c>
    </row>
    <row r="3" customFormat="false" ht="15" hidden="false" customHeight="false" outlineLevel="0" collapsed="false">
      <c r="A3" s="14" t="s">
        <v>98</v>
      </c>
      <c r="B3" s="14" t="s">
        <v>99</v>
      </c>
      <c r="C3" s="14" t="s">
        <v>64</v>
      </c>
      <c r="D3" s="15" t="n">
        <v>4</v>
      </c>
      <c r="E3" s="14" t="s">
        <v>97</v>
      </c>
      <c r="F3" s="6" t="n">
        <f aca="false">D3/Tham_so!$B$4*INDEX(Tham_so!$C$23:$C$27,MATCH(C3,Tham_so!$A$23:$A$27,0))</f>
        <v>11000000</v>
      </c>
    </row>
    <row r="4" customFormat="false" ht="15" hidden="false" customHeight="false" outlineLevel="0" collapsed="false">
      <c r="A4" s="14" t="s">
        <v>100</v>
      </c>
      <c r="B4" s="14" t="s">
        <v>101</v>
      </c>
      <c r="C4" s="14" t="s">
        <v>64</v>
      </c>
      <c r="D4" s="15" t="n">
        <v>3</v>
      </c>
      <c r="E4" s="14" t="s">
        <v>97</v>
      </c>
      <c r="F4" s="6" t="n">
        <f aca="false">D4/Tham_so!$B$4*INDEX(Tham_so!$C$23:$C$27,MATCH(C4,Tham_so!$A$23:$A$27,0))</f>
        <v>8250000</v>
      </c>
    </row>
    <row r="5" customFormat="false" ht="15" hidden="false" customHeight="false" outlineLevel="0" collapsed="false">
      <c r="A5" s="14" t="s">
        <v>102</v>
      </c>
      <c r="B5" s="14" t="s">
        <v>103</v>
      </c>
      <c r="C5" s="14" t="s">
        <v>64</v>
      </c>
      <c r="D5" s="15" t="n">
        <v>3</v>
      </c>
      <c r="E5" s="14" t="s">
        <v>97</v>
      </c>
      <c r="F5" s="6" t="n">
        <f aca="false">D5/Tham_so!$B$4*INDEX(Tham_so!$C$23:$C$27,MATCH(C5,Tham_so!$A$23:$A$27,0))</f>
        <v>8250000</v>
      </c>
    </row>
    <row r="6" customFormat="false" ht="15" hidden="false" customHeight="false" outlineLevel="0" collapsed="false">
      <c r="A6" s="14" t="s">
        <v>104</v>
      </c>
      <c r="B6" s="14" t="s">
        <v>105</v>
      </c>
      <c r="C6" s="14" t="s">
        <v>64</v>
      </c>
      <c r="D6" s="15" t="n">
        <v>2</v>
      </c>
      <c r="E6" s="14" t="s">
        <v>97</v>
      </c>
      <c r="F6" s="6" t="n">
        <f aca="false">D6/Tham_so!$B$4*INDEX(Tham_so!$C$23:$C$27,MATCH(C6,Tham_so!$A$23:$A$27,0))</f>
        <v>5500000</v>
      </c>
    </row>
    <row r="7" customFormat="false" ht="15" hidden="false" customHeight="false" outlineLevel="0" collapsed="false">
      <c r="A7" s="14" t="s">
        <v>106</v>
      </c>
      <c r="B7" s="14" t="s">
        <v>107</v>
      </c>
      <c r="C7" s="14" t="s">
        <v>66</v>
      </c>
      <c r="D7" s="15" t="n">
        <v>4</v>
      </c>
      <c r="E7" s="14" t="s">
        <v>97</v>
      </c>
      <c r="F7" s="6" t="n">
        <f aca="false">D7/Tham_so!$B$4*INDEX(Tham_so!$C$23:$C$27,MATCH(C7,Tham_so!$A$23:$A$27,0))</f>
        <v>8600000</v>
      </c>
    </row>
    <row r="8" customFormat="false" ht="15" hidden="false" customHeight="false" outlineLevel="0" collapsed="false">
      <c r="A8" s="14" t="s">
        <v>108</v>
      </c>
      <c r="B8" s="14" t="s">
        <v>109</v>
      </c>
      <c r="C8" s="14" t="s">
        <v>66</v>
      </c>
      <c r="D8" s="15" t="n">
        <v>3</v>
      </c>
      <c r="E8" s="14" t="s">
        <v>97</v>
      </c>
      <c r="F8" s="6" t="n">
        <f aca="false">D8/Tham_so!$B$4*INDEX(Tham_so!$C$23:$C$27,MATCH(C8,Tham_so!$A$23:$A$27,0))</f>
        <v>6450000</v>
      </c>
    </row>
    <row r="9" customFormat="false" ht="15" hidden="false" customHeight="false" outlineLevel="0" collapsed="false">
      <c r="A9" s="14" t="s">
        <v>110</v>
      </c>
      <c r="B9" s="14" t="s">
        <v>111</v>
      </c>
      <c r="C9" s="14" t="s">
        <v>70</v>
      </c>
      <c r="D9" s="15" t="n">
        <v>4</v>
      </c>
      <c r="E9" s="14" t="s">
        <v>97</v>
      </c>
      <c r="F9" s="6" t="n">
        <f aca="false">D9/Tham_so!$B$4*INDEX(Tham_so!$C$23:$C$27,MATCH(C9,Tham_so!$A$23:$A$27,0))</f>
        <v>8400000</v>
      </c>
    </row>
    <row r="10" customFormat="false" ht="15" hidden="false" customHeight="false" outlineLevel="0" collapsed="false">
      <c r="A10" s="14" t="s">
        <v>112</v>
      </c>
      <c r="B10" s="14" t="s">
        <v>113</v>
      </c>
      <c r="C10" s="14" t="s">
        <v>70</v>
      </c>
      <c r="D10" s="15" t="n">
        <v>4</v>
      </c>
      <c r="E10" s="14" t="s">
        <v>97</v>
      </c>
      <c r="F10" s="6" t="n">
        <f aca="false">D10/Tham_so!$B$4*INDEX(Tham_so!$C$23:$C$27,MATCH(C10,Tham_so!$A$23:$A$27,0))</f>
        <v>8400000</v>
      </c>
    </row>
    <row r="11" customFormat="false" ht="15" hidden="false" customHeight="false" outlineLevel="0" collapsed="false">
      <c r="A11" s="14" t="s">
        <v>114</v>
      </c>
      <c r="B11" s="14" t="s">
        <v>115</v>
      </c>
      <c r="C11" s="14" t="s">
        <v>66</v>
      </c>
      <c r="D11" s="15" t="n">
        <v>5</v>
      </c>
      <c r="E11" s="14" t="s">
        <v>97</v>
      </c>
      <c r="F11" s="6" t="n">
        <f aca="false">D11/Tham_so!$B$4*INDEX(Tham_so!$C$23:$C$27,MATCH(C11,Tham_so!$A$23:$A$27,0))</f>
        <v>10750000</v>
      </c>
    </row>
    <row r="12" customFormat="false" ht="15" hidden="false" customHeight="false" outlineLevel="0" collapsed="false">
      <c r="A12" s="14" t="s">
        <v>116</v>
      </c>
      <c r="B12" s="14" t="s">
        <v>117</v>
      </c>
      <c r="C12" s="14" t="s">
        <v>66</v>
      </c>
      <c r="D12" s="15" t="n">
        <v>3</v>
      </c>
      <c r="E12" s="14" t="s">
        <v>97</v>
      </c>
      <c r="F12" s="6" t="n">
        <f aca="false">D12/Tham_so!$B$4*INDEX(Tham_so!$C$23:$C$27,MATCH(C12,Tham_so!$A$23:$A$27,0))</f>
        <v>6450000</v>
      </c>
    </row>
    <row r="13" customFormat="false" ht="15" hidden="false" customHeight="false" outlineLevel="0" collapsed="false">
      <c r="A13" s="14" t="s">
        <v>118</v>
      </c>
      <c r="B13" s="14" t="s">
        <v>119</v>
      </c>
      <c r="C13" s="14" t="s">
        <v>70</v>
      </c>
      <c r="D13" s="15" t="n">
        <v>5</v>
      </c>
      <c r="E13" s="14" t="s">
        <v>97</v>
      </c>
      <c r="F13" s="6" t="n">
        <f aca="false">D13/Tham_so!$B$4*INDEX(Tham_so!$C$23:$C$27,MATCH(C13,Tham_so!$A$23:$A$27,0))</f>
        <v>10500000</v>
      </c>
    </row>
    <row r="14" customFormat="false" ht="15" hidden="false" customHeight="false" outlineLevel="0" collapsed="false">
      <c r="A14" s="14" t="s">
        <v>120</v>
      </c>
      <c r="B14" s="14" t="s">
        <v>121</v>
      </c>
      <c r="C14" s="14" t="s">
        <v>70</v>
      </c>
      <c r="D14" s="15" t="n">
        <v>4</v>
      </c>
      <c r="E14" s="14" t="s">
        <v>97</v>
      </c>
      <c r="F14" s="6" t="n">
        <f aca="false">D14/Tham_so!$B$4*INDEX(Tham_so!$C$23:$C$27,MATCH(C14,Tham_so!$A$23:$A$27,0))</f>
        <v>8400000</v>
      </c>
    </row>
    <row r="15" customFormat="false" ht="15" hidden="false" customHeight="false" outlineLevel="0" collapsed="false">
      <c r="A15" s="14" t="s">
        <v>122</v>
      </c>
      <c r="B15" s="14" t="s">
        <v>123</v>
      </c>
      <c r="C15" s="14" t="s">
        <v>70</v>
      </c>
      <c r="D15" s="15" t="n">
        <v>5</v>
      </c>
      <c r="E15" s="14" t="s">
        <v>97</v>
      </c>
      <c r="F15" s="6" t="n">
        <f aca="false">D15/Tham_so!$B$4*INDEX(Tham_so!$C$23:$C$27,MATCH(C15,Tham_so!$A$23:$A$27,0))</f>
        <v>10500000</v>
      </c>
    </row>
    <row r="16" customFormat="false" ht="15" hidden="false" customHeight="false" outlineLevel="0" collapsed="false">
      <c r="A16" s="14" t="s">
        <v>124</v>
      </c>
      <c r="B16" s="14" t="s">
        <v>125</v>
      </c>
      <c r="C16" s="14" t="s">
        <v>70</v>
      </c>
      <c r="D16" s="15" t="n">
        <v>5</v>
      </c>
      <c r="E16" s="14" t="s">
        <v>97</v>
      </c>
      <c r="F16" s="6" t="n">
        <f aca="false">D16/Tham_so!$B$4*INDEX(Tham_so!$C$23:$C$27,MATCH(C16,Tham_so!$A$23:$A$27,0))</f>
        <v>10500000</v>
      </c>
    </row>
    <row r="17" customFormat="false" ht="15" hidden="false" customHeight="false" outlineLevel="0" collapsed="false">
      <c r="A17" s="14" t="s">
        <v>126</v>
      </c>
      <c r="B17" s="14" t="s">
        <v>127</v>
      </c>
      <c r="C17" s="14" t="s">
        <v>70</v>
      </c>
      <c r="D17" s="15" t="n">
        <v>5</v>
      </c>
      <c r="E17" s="14" t="s">
        <v>97</v>
      </c>
      <c r="F17" s="6" t="n">
        <f aca="false">D17/Tham_so!$B$4*INDEX(Tham_so!$C$23:$C$27,MATCH(C17,Tham_so!$A$23:$A$27,0))</f>
        <v>10500000</v>
      </c>
    </row>
    <row r="18" customFormat="false" ht="15" hidden="false" customHeight="false" outlineLevel="0" collapsed="false">
      <c r="A18" s="14" t="s">
        <v>128</v>
      </c>
      <c r="B18" s="14" t="s">
        <v>129</v>
      </c>
      <c r="C18" s="14" t="s">
        <v>70</v>
      </c>
      <c r="D18" s="15" t="n">
        <v>6</v>
      </c>
      <c r="E18" s="14" t="s">
        <v>97</v>
      </c>
      <c r="F18" s="6" t="n">
        <f aca="false">D18/Tham_so!$B$4*INDEX(Tham_so!$C$23:$C$27,MATCH(C18,Tham_so!$A$23:$A$27,0))</f>
        <v>12600000</v>
      </c>
    </row>
    <row r="19" customFormat="false" ht="15" hidden="false" customHeight="false" outlineLevel="0" collapsed="false">
      <c r="A19" s="14" t="s">
        <v>130</v>
      </c>
      <c r="B19" s="14" t="s">
        <v>131</v>
      </c>
      <c r="C19" s="14" t="s">
        <v>70</v>
      </c>
      <c r="D19" s="15" t="n">
        <v>4</v>
      </c>
      <c r="E19" s="14" t="s">
        <v>97</v>
      </c>
      <c r="F19" s="6" t="n">
        <f aca="false">D19/Tham_so!$B$4*INDEX(Tham_so!$C$23:$C$27,MATCH(C19,Tham_so!$A$23:$A$27,0))</f>
        <v>8400000</v>
      </c>
    </row>
    <row r="20" customFormat="false" ht="15" hidden="false" customHeight="false" outlineLevel="0" collapsed="false">
      <c r="A20" s="14" t="s">
        <v>132</v>
      </c>
      <c r="B20" s="14" t="s">
        <v>133</v>
      </c>
      <c r="C20" s="14" t="s">
        <v>70</v>
      </c>
      <c r="D20" s="15" t="n">
        <v>5</v>
      </c>
      <c r="E20" s="14" t="s">
        <v>97</v>
      </c>
      <c r="F20" s="6" t="n">
        <f aca="false">D20/Tham_so!$B$4*INDEX(Tham_so!$C$23:$C$27,MATCH(C20,Tham_so!$A$23:$A$27,0))</f>
        <v>10500000</v>
      </c>
    </row>
    <row r="21" customFormat="false" ht="15" hidden="false" customHeight="false" outlineLevel="0" collapsed="false">
      <c r="A21" s="14" t="s">
        <v>134</v>
      </c>
      <c r="B21" s="14" t="s">
        <v>135</v>
      </c>
      <c r="C21" s="14" t="s">
        <v>70</v>
      </c>
      <c r="D21" s="15" t="n">
        <v>5</v>
      </c>
      <c r="E21" s="14" t="s">
        <v>97</v>
      </c>
      <c r="F21" s="6" t="n">
        <f aca="false">D21/Tham_so!$B$4*INDEX(Tham_so!$C$23:$C$27,MATCH(C21,Tham_so!$A$23:$A$27,0))</f>
        <v>10500000</v>
      </c>
    </row>
    <row r="22" customFormat="false" ht="15" hidden="false" customHeight="false" outlineLevel="0" collapsed="false">
      <c r="A22" s="14" t="s">
        <v>136</v>
      </c>
      <c r="B22" s="14" t="s">
        <v>137</v>
      </c>
      <c r="C22" s="14" t="s">
        <v>70</v>
      </c>
      <c r="D22" s="15" t="n">
        <v>4</v>
      </c>
      <c r="E22" s="14" t="s">
        <v>97</v>
      </c>
      <c r="F22" s="6" t="n">
        <f aca="false">D22/Tham_so!$B$4*INDEX(Tham_so!$C$23:$C$27,MATCH(C22,Tham_so!$A$23:$A$27,0))</f>
        <v>8400000</v>
      </c>
    </row>
    <row r="23" customFormat="false" ht="15" hidden="false" customHeight="false" outlineLevel="0" collapsed="false">
      <c r="A23" s="14" t="s">
        <v>138</v>
      </c>
      <c r="B23" s="14" t="s">
        <v>139</v>
      </c>
      <c r="C23" s="14" t="s">
        <v>68</v>
      </c>
      <c r="D23" s="15" t="n">
        <v>6</v>
      </c>
      <c r="E23" s="14" t="s">
        <v>97</v>
      </c>
      <c r="F23" s="6" t="n">
        <f aca="false">D23/Tham_so!$B$4*INDEX(Tham_so!$C$23:$C$27,MATCH(C23,Tham_so!$A$23:$A$27,0))</f>
        <v>12000000</v>
      </c>
    </row>
    <row r="24" customFormat="false" ht="15" hidden="false" customHeight="false" outlineLevel="0" collapsed="false">
      <c r="A24" s="14" t="s">
        <v>140</v>
      </c>
      <c r="B24" s="14" t="s">
        <v>141</v>
      </c>
      <c r="C24" s="14" t="s">
        <v>68</v>
      </c>
      <c r="D24" s="15" t="n">
        <v>7</v>
      </c>
      <c r="E24" s="14" t="s">
        <v>97</v>
      </c>
      <c r="F24" s="6" t="n">
        <f aca="false">D24/Tham_so!$B$4*INDEX(Tham_so!$C$23:$C$27,MATCH(C24,Tham_so!$A$23:$A$27,0))</f>
        <v>14000000</v>
      </c>
    </row>
    <row r="25" customFormat="false" ht="15" hidden="false" customHeight="false" outlineLevel="0" collapsed="false">
      <c r="A25" s="14" t="s">
        <v>142</v>
      </c>
      <c r="B25" s="14" t="s">
        <v>143</v>
      </c>
      <c r="C25" s="14" t="s">
        <v>68</v>
      </c>
      <c r="D25" s="15" t="n">
        <v>6</v>
      </c>
      <c r="E25" s="14" t="s">
        <v>97</v>
      </c>
      <c r="F25" s="6" t="n">
        <f aca="false">D25/Tham_so!$B$4*INDEX(Tham_so!$C$23:$C$27,MATCH(C25,Tham_so!$A$23:$A$27,0))</f>
        <v>12000000</v>
      </c>
    </row>
    <row r="26" customFormat="false" ht="15" hidden="false" customHeight="false" outlineLevel="0" collapsed="false">
      <c r="A26" s="14" t="s">
        <v>144</v>
      </c>
      <c r="B26" s="14" t="s">
        <v>145</v>
      </c>
      <c r="C26" s="14" t="s">
        <v>70</v>
      </c>
      <c r="D26" s="15" t="n">
        <v>3</v>
      </c>
      <c r="E26" s="14" t="s">
        <v>97</v>
      </c>
      <c r="F26" s="6" t="n">
        <f aca="false">D26/Tham_so!$B$4*INDEX(Tham_so!$C$23:$C$27,MATCH(C26,Tham_so!$A$23:$A$27,0))</f>
        <v>6300000</v>
      </c>
    </row>
    <row r="27" customFormat="false" ht="15" hidden="false" customHeight="false" outlineLevel="0" collapsed="false">
      <c r="A27" s="14" t="s">
        <v>146</v>
      </c>
      <c r="B27" s="14" t="s">
        <v>147</v>
      </c>
      <c r="C27" s="14" t="s">
        <v>68</v>
      </c>
      <c r="D27" s="15" t="n">
        <v>5</v>
      </c>
      <c r="E27" s="14" t="s">
        <v>97</v>
      </c>
      <c r="F27" s="6" t="n">
        <f aca="false">D27/Tham_so!$B$4*INDEX(Tham_so!$C$23:$C$27,MATCH(C27,Tham_so!$A$23:$A$27,0))</f>
        <v>10000000</v>
      </c>
    </row>
    <row r="28" customFormat="false" ht="15" hidden="false" customHeight="false" outlineLevel="0" collapsed="false">
      <c r="A28" s="14" t="s">
        <v>148</v>
      </c>
      <c r="B28" s="14" t="s">
        <v>149</v>
      </c>
      <c r="C28" s="14" t="s">
        <v>70</v>
      </c>
      <c r="D28" s="15" t="n">
        <v>3</v>
      </c>
      <c r="E28" s="14" t="s">
        <v>97</v>
      </c>
      <c r="F28" s="6" t="n">
        <f aca="false">D28/Tham_so!$B$4*INDEX(Tham_so!$C$23:$C$27,MATCH(C28,Tham_so!$A$23:$A$27,0))</f>
        <v>6300000</v>
      </c>
    </row>
    <row r="29" customFormat="false" ht="15" hidden="false" customHeight="false" outlineLevel="0" collapsed="false">
      <c r="A29" s="14" t="s">
        <v>150</v>
      </c>
      <c r="B29" s="14" t="s">
        <v>151</v>
      </c>
      <c r="C29" s="14" t="s">
        <v>66</v>
      </c>
      <c r="D29" s="15" t="n">
        <v>3</v>
      </c>
      <c r="E29" s="14" t="s">
        <v>97</v>
      </c>
      <c r="F29" s="6" t="n">
        <f aca="false">D29/Tham_so!$B$4*INDEX(Tham_so!$C$23:$C$27,MATCH(C29,Tham_so!$A$23:$A$27,0))</f>
        <v>6450000</v>
      </c>
    </row>
    <row r="30" customFormat="false" ht="15" hidden="false" customHeight="false" outlineLevel="0" collapsed="false">
      <c r="A30" s="14" t="s">
        <v>152</v>
      </c>
      <c r="B30" s="14" t="s">
        <v>153</v>
      </c>
      <c r="C30" s="14" t="s">
        <v>68</v>
      </c>
      <c r="D30" s="15" t="n">
        <v>4</v>
      </c>
      <c r="E30" s="14" t="s">
        <v>97</v>
      </c>
      <c r="F30" s="6" t="n">
        <f aca="false">D30/Tham_so!$B$4*INDEX(Tham_so!$C$23:$C$27,MATCH(C30,Tham_so!$A$23:$A$27,0))</f>
        <v>8000000</v>
      </c>
    </row>
    <row r="31" customFormat="false" ht="15" hidden="false" customHeight="false" outlineLevel="0" collapsed="false">
      <c r="A31" s="14" t="s">
        <v>154</v>
      </c>
      <c r="B31" s="14" t="s">
        <v>155</v>
      </c>
      <c r="C31" s="14" t="s">
        <v>68</v>
      </c>
      <c r="D31" s="15" t="n">
        <v>3</v>
      </c>
      <c r="E31" s="14" t="s">
        <v>97</v>
      </c>
      <c r="F31" s="6" t="n">
        <f aca="false">D31/Tham_so!$B$4*INDEX(Tham_so!$C$23:$C$27,MATCH(C31,Tham_so!$A$23:$A$27,0))</f>
        <v>6000000</v>
      </c>
    </row>
    <row r="32" customFormat="false" ht="15" hidden="false" customHeight="false" outlineLevel="0" collapsed="false">
      <c r="A32" s="14" t="s">
        <v>156</v>
      </c>
      <c r="B32" s="14" t="s">
        <v>157</v>
      </c>
      <c r="C32" s="14" t="s">
        <v>70</v>
      </c>
      <c r="D32" s="15" t="n">
        <v>4</v>
      </c>
      <c r="E32" s="14" t="s">
        <v>97</v>
      </c>
      <c r="F32" s="6" t="n">
        <f aca="false">D32/Tham_so!$B$4*INDEX(Tham_so!$C$23:$C$27,MATCH(C32,Tham_so!$A$23:$A$27,0))</f>
        <v>8400000</v>
      </c>
    </row>
    <row r="33" customFormat="false" ht="15" hidden="false" customHeight="false" outlineLevel="0" collapsed="false">
      <c r="A33" s="14" t="s">
        <v>158</v>
      </c>
      <c r="B33" s="14" t="s">
        <v>159</v>
      </c>
      <c r="C33" s="14" t="s">
        <v>68</v>
      </c>
      <c r="D33" s="15" t="n">
        <v>4</v>
      </c>
      <c r="E33" s="14" t="s">
        <v>97</v>
      </c>
      <c r="F33" s="6" t="n">
        <f aca="false">D33/Tham_so!$B$4*INDEX(Tham_so!$C$23:$C$27,MATCH(C33,Tham_so!$A$23:$A$27,0))</f>
        <v>8000000</v>
      </c>
    </row>
    <row r="34" customFormat="false" ht="15" hidden="false" customHeight="false" outlineLevel="0" collapsed="false">
      <c r="A34" s="14" t="s">
        <v>160</v>
      </c>
      <c r="B34" s="14" t="s">
        <v>161</v>
      </c>
      <c r="C34" s="14" t="s">
        <v>70</v>
      </c>
      <c r="D34" s="15" t="n">
        <v>6</v>
      </c>
      <c r="E34" s="14" t="s">
        <v>97</v>
      </c>
      <c r="F34" s="6" t="n">
        <f aca="false">D34/Tham_so!$B$4*INDEX(Tham_so!$C$23:$C$27,MATCH(C34,Tham_so!$A$23:$A$27,0))</f>
        <v>12600000</v>
      </c>
    </row>
    <row r="35" customFormat="false" ht="15" hidden="false" customHeight="false" outlineLevel="0" collapsed="false">
      <c r="A35" s="14" t="s">
        <v>162</v>
      </c>
      <c r="B35" s="14" t="s">
        <v>163</v>
      </c>
      <c r="C35" s="14" t="s">
        <v>72</v>
      </c>
      <c r="D35" s="15" t="n">
        <v>6</v>
      </c>
      <c r="E35" s="14" t="s">
        <v>97</v>
      </c>
      <c r="F35" s="6" t="n">
        <f aca="false">D35/Tham_so!$B$4*INDEX(Tham_so!$C$23:$C$27,MATCH(C35,Tham_so!$A$23:$A$27,0))</f>
        <v>15600000</v>
      </c>
    </row>
    <row r="36" customFormat="false" ht="15" hidden="false" customHeight="false" outlineLevel="0" collapsed="false">
      <c r="A36" s="14" t="s">
        <v>164</v>
      </c>
      <c r="B36" s="14" t="s">
        <v>165</v>
      </c>
      <c r="C36" s="14" t="s">
        <v>72</v>
      </c>
      <c r="D36" s="15" t="n">
        <v>2</v>
      </c>
      <c r="E36" s="14" t="s">
        <v>97</v>
      </c>
      <c r="F36" s="6" t="n">
        <f aca="false">D36/Tham_so!$B$4*INDEX(Tham_so!$C$23:$C$27,MATCH(C36,Tham_so!$A$23:$A$27,0))</f>
        <v>5200000</v>
      </c>
    </row>
    <row r="37" customFormat="false" ht="15" hidden="false" customHeight="false" outlineLevel="0" collapsed="false">
      <c r="A37" s="14" t="s">
        <v>166</v>
      </c>
      <c r="B37" s="14" t="s">
        <v>167</v>
      </c>
      <c r="C37" s="14" t="s">
        <v>70</v>
      </c>
      <c r="D37" s="15" t="n">
        <v>4</v>
      </c>
      <c r="E37" s="14" t="s">
        <v>97</v>
      </c>
      <c r="F37" s="6" t="n">
        <f aca="false">D37/Tham_so!$B$4*INDEX(Tham_so!$C$23:$C$27,MATCH(C37,Tham_so!$A$23:$A$27,0))</f>
        <v>8400000</v>
      </c>
    </row>
    <row r="38" customFormat="false" ht="15" hidden="false" customHeight="false" outlineLevel="0" collapsed="false">
      <c r="A38" s="14" t="s">
        <v>168</v>
      </c>
      <c r="B38" s="14" t="s">
        <v>169</v>
      </c>
      <c r="C38" s="14" t="s">
        <v>68</v>
      </c>
      <c r="D38" s="15" t="n">
        <v>3</v>
      </c>
      <c r="E38" s="14" t="s">
        <v>170</v>
      </c>
      <c r="F38" s="6" t="n">
        <f aca="false">D38/Tham_so!$B$4*INDEX(Tham_so!$C$23:$C$27,MATCH(C38,Tham_so!$A$23:$A$27,0))</f>
        <v>6000000</v>
      </c>
    </row>
    <row r="39" customFormat="false" ht="15" hidden="false" customHeight="false" outlineLevel="0" collapsed="false">
      <c r="A39" s="14" t="s">
        <v>171</v>
      </c>
      <c r="B39" s="14" t="s">
        <v>172</v>
      </c>
      <c r="C39" s="14" t="s">
        <v>64</v>
      </c>
      <c r="D39" s="15" t="n">
        <v>4</v>
      </c>
      <c r="E39" s="14" t="s">
        <v>170</v>
      </c>
      <c r="F39" s="6" t="n">
        <f aca="false">D39/Tham_so!$B$4*INDEX(Tham_so!$C$23:$C$27,MATCH(C39,Tham_so!$A$23:$A$27,0))</f>
        <v>11000000</v>
      </c>
    </row>
    <row r="40" customFormat="false" ht="15" hidden="false" customHeight="false" outlineLevel="0" collapsed="false">
      <c r="A40" s="14" t="s">
        <v>173</v>
      </c>
      <c r="B40" s="14" t="s">
        <v>174</v>
      </c>
      <c r="C40" s="14" t="s">
        <v>64</v>
      </c>
      <c r="D40" s="15" t="n">
        <v>3</v>
      </c>
      <c r="E40" s="14" t="s">
        <v>170</v>
      </c>
      <c r="F40" s="6" t="n">
        <f aca="false">D40/Tham_so!$B$4*INDEX(Tham_so!$C$23:$C$27,MATCH(C40,Tham_so!$A$23:$A$27,0))</f>
        <v>8250000</v>
      </c>
    </row>
    <row r="41" customFormat="false" ht="15" hidden="false" customHeight="false" outlineLevel="0" collapsed="false">
      <c r="A41" s="14" t="s">
        <v>175</v>
      </c>
      <c r="B41" s="14" t="s">
        <v>176</v>
      </c>
      <c r="C41" s="14" t="s">
        <v>64</v>
      </c>
      <c r="D41" s="15" t="n">
        <v>3.5</v>
      </c>
      <c r="E41" s="14" t="s">
        <v>170</v>
      </c>
      <c r="F41" s="6" t="n">
        <f aca="false">D41/Tham_so!$B$4*INDEX(Tham_so!$C$23:$C$27,MATCH(C41,Tham_so!$A$23:$A$27,0))</f>
        <v>9625000</v>
      </c>
    </row>
    <row r="42" customFormat="false" ht="15" hidden="false" customHeight="false" outlineLevel="0" collapsed="false">
      <c r="A42" s="14" t="s">
        <v>177</v>
      </c>
      <c r="B42" s="14" t="s">
        <v>178</v>
      </c>
      <c r="C42" s="14" t="s">
        <v>66</v>
      </c>
      <c r="D42" s="15" t="n">
        <v>3</v>
      </c>
      <c r="E42" s="14" t="s">
        <v>170</v>
      </c>
      <c r="F42" s="6" t="n">
        <f aca="false">D42/Tham_so!$B$4*INDEX(Tham_so!$C$23:$C$27,MATCH(C42,Tham_so!$A$23:$A$27,0))</f>
        <v>6450000</v>
      </c>
    </row>
    <row r="43" customFormat="false" ht="15" hidden="false" customHeight="false" outlineLevel="0" collapsed="false">
      <c r="A43" s="14" t="s">
        <v>179</v>
      </c>
      <c r="B43" s="14" t="s">
        <v>180</v>
      </c>
      <c r="C43" s="14" t="s">
        <v>66</v>
      </c>
      <c r="D43" s="15" t="n">
        <v>3</v>
      </c>
      <c r="E43" s="14" t="s">
        <v>170</v>
      </c>
      <c r="F43" s="6" t="n">
        <f aca="false">D43/Tham_so!$B$4*INDEX(Tham_so!$C$23:$C$27,MATCH(C43,Tham_so!$A$23:$A$27,0))</f>
        <v>6450000</v>
      </c>
    </row>
    <row r="44" customFormat="false" ht="15" hidden="false" customHeight="false" outlineLevel="0" collapsed="false">
      <c r="A44" s="14" t="s">
        <v>181</v>
      </c>
      <c r="B44" s="14" t="s">
        <v>182</v>
      </c>
      <c r="C44" s="14" t="s">
        <v>70</v>
      </c>
      <c r="D44" s="15" t="n">
        <v>3</v>
      </c>
      <c r="E44" s="14" t="s">
        <v>170</v>
      </c>
      <c r="F44" s="6" t="n">
        <f aca="false">D44/Tham_so!$B$4*INDEX(Tham_so!$C$23:$C$27,MATCH(C44,Tham_so!$A$23:$A$27,0))</f>
        <v>6300000</v>
      </c>
    </row>
    <row r="45" customFormat="false" ht="15" hidden="false" customHeight="false" outlineLevel="0" collapsed="false">
      <c r="A45" s="14" t="s">
        <v>183</v>
      </c>
      <c r="B45" s="14" t="s">
        <v>184</v>
      </c>
      <c r="C45" s="14" t="s">
        <v>70</v>
      </c>
      <c r="D45" s="15" t="n">
        <v>3</v>
      </c>
      <c r="E45" s="14" t="s">
        <v>170</v>
      </c>
      <c r="F45" s="6" t="n">
        <f aca="false">D45/Tham_so!$B$4*INDEX(Tham_so!$C$23:$C$27,MATCH(C45,Tham_so!$A$23:$A$27,0))</f>
        <v>6300000</v>
      </c>
    </row>
    <row r="46" customFormat="false" ht="15" hidden="false" customHeight="false" outlineLevel="0" collapsed="false">
      <c r="A46" s="14" t="s">
        <v>185</v>
      </c>
      <c r="B46" s="14" t="s">
        <v>186</v>
      </c>
      <c r="C46" s="14" t="s">
        <v>66</v>
      </c>
      <c r="D46" s="15" t="n">
        <v>5</v>
      </c>
      <c r="E46" s="14" t="s">
        <v>170</v>
      </c>
      <c r="F46" s="6" t="n">
        <f aca="false">D46/Tham_so!$B$4*INDEX(Tham_so!$C$23:$C$27,MATCH(C46,Tham_so!$A$23:$A$27,0))</f>
        <v>10750000</v>
      </c>
    </row>
    <row r="47" customFormat="false" ht="15" hidden="false" customHeight="false" outlineLevel="0" collapsed="false">
      <c r="A47" s="14" t="s">
        <v>187</v>
      </c>
      <c r="B47" s="14" t="s">
        <v>188</v>
      </c>
      <c r="C47" s="14" t="s">
        <v>66</v>
      </c>
      <c r="D47" s="15" t="n">
        <v>3</v>
      </c>
      <c r="E47" s="14" t="s">
        <v>170</v>
      </c>
      <c r="F47" s="6" t="n">
        <f aca="false">D47/Tham_so!$B$4*INDEX(Tham_so!$C$23:$C$27,MATCH(C47,Tham_so!$A$23:$A$27,0))</f>
        <v>6450000</v>
      </c>
    </row>
    <row r="48" customFormat="false" ht="15" hidden="false" customHeight="false" outlineLevel="0" collapsed="false">
      <c r="A48" s="14" t="s">
        <v>189</v>
      </c>
      <c r="B48" s="14" t="s">
        <v>190</v>
      </c>
      <c r="C48" s="14" t="s">
        <v>70</v>
      </c>
      <c r="D48" s="15" t="n">
        <v>5</v>
      </c>
      <c r="E48" s="14" t="s">
        <v>170</v>
      </c>
      <c r="F48" s="6" t="n">
        <f aca="false">D48/Tham_so!$B$4*INDEX(Tham_so!$C$23:$C$27,MATCH(C48,Tham_so!$A$23:$A$27,0))</f>
        <v>10500000</v>
      </c>
    </row>
    <row r="49" customFormat="false" ht="15" hidden="false" customHeight="false" outlineLevel="0" collapsed="false">
      <c r="A49" s="14" t="s">
        <v>191</v>
      </c>
      <c r="B49" s="14" t="s">
        <v>192</v>
      </c>
      <c r="C49" s="14" t="s">
        <v>70</v>
      </c>
      <c r="D49" s="15" t="n">
        <v>3</v>
      </c>
      <c r="E49" s="14" t="s">
        <v>170</v>
      </c>
      <c r="F49" s="6" t="n">
        <f aca="false">D49/Tham_so!$B$4*INDEX(Tham_so!$C$23:$C$27,MATCH(C49,Tham_so!$A$23:$A$27,0))</f>
        <v>6300000</v>
      </c>
    </row>
    <row r="50" customFormat="false" ht="15" hidden="false" customHeight="false" outlineLevel="0" collapsed="false">
      <c r="A50" s="14" t="s">
        <v>193</v>
      </c>
      <c r="B50" s="14" t="s">
        <v>194</v>
      </c>
      <c r="C50" s="14" t="s">
        <v>70</v>
      </c>
      <c r="D50" s="15" t="n">
        <v>5</v>
      </c>
      <c r="E50" s="14" t="s">
        <v>170</v>
      </c>
      <c r="F50" s="6" t="n">
        <f aca="false">D50/Tham_so!$B$4*INDEX(Tham_so!$C$23:$C$27,MATCH(C50,Tham_so!$A$23:$A$27,0))</f>
        <v>10500000</v>
      </c>
    </row>
    <row r="51" customFormat="false" ht="15" hidden="false" customHeight="false" outlineLevel="0" collapsed="false">
      <c r="A51" s="14" t="s">
        <v>195</v>
      </c>
      <c r="B51" s="14" t="s">
        <v>196</v>
      </c>
      <c r="C51" s="14" t="s">
        <v>70</v>
      </c>
      <c r="D51" s="15" t="n">
        <v>6</v>
      </c>
      <c r="E51" s="14" t="s">
        <v>170</v>
      </c>
      <c r="F51" s="6" t="n">
        <f aca="false">D51/Tham_so!$B$4*INDEX(Tham_so!$C$23:$C$27,MATCH(C51,Tham_so!$A$23:$A$27,0))</f>
        <v>12600000</v>
      </c>
    </row>
    <row r="52" customFormat="false" ht="15" hidden="false" customHeight="false" outlineLevel="0" collapsed="false">
      <c r="A52" s="14" t="s">
        <v>197</v>
      </c>
      <c r="B52" s="14" t="s">
        <v>198</v>
      </c>
      <c r="C52" s="14" t="s">
        <v>70</v>
      </c>
      <c r="D52" s="15" t="n">
        <v>4</v>
      </c>
      <c r="E52" s="14" t="s">
        <v>170</v>
      </c>
      <c r="F52" s="6" t="n">
        <f aca="false">D52/Tham_so!$B$4*INDEX(Tham_so!$C$23:$C$27,MATCH(C52,Tham_so!$A$23:$A$27,0))</f>
        <v>8400000</v>
      </c>
    </row>
    <row r="53" customFormat="false" ht="15" hidden="false" customHeight="false" outlineLevel="0" collapsed="false">
      <c r="A53" s="14" t="s">
        <v>199</v>
      </c>
      <c r="B53" s="14" t="s">
        <v>200</v>
      </c>
      <c r="C53" s="14" t="s">
        <v>70</v>
      </c>
      <c r="D53" s="15" t="n">
        <v>5</v>
      </c>
      <c r="E53" s="14" t="s">
        <v>170</v>
      </c>
      <c r="F53" s="6" t="n">
        <f aca="false">D53/Tham_so!$B$4*INDEX(Tham_so!$C$23:$C$27,MATCH(C53,Tham_so!$A$23:$A$27,0))</f>
        <v>10500000</v>
      </c>
    </row>
    <row r="54" customFormat="false" ht="15" hidden="false" customHeight="false" outlineLevel="0" collapsed="false">
      <c r="A54" s="14" t="s">
        <v>201</v>
      </c>
      <c r="B54" s="14" t="s">
        <v>202</v>
      </c>
      <c r="C54" s="14" t="s">
        <v>70</v>
      </c>
      <c r="D54" s="15" t="n">
        <v>4</v>
      </c>
      <c r="E54" s="14" t="s">
        <v>170</v>
      </c>
      <c r="F54" s="6" t="n">
        <f aca="false">D54/Tham_so!$B$4*INDEX(Tham_so!$C$23:$C$27,MATCH(C54,Tham_so!$A$23:$A$27,0))</f>
        <v>8400000</v>
      </c>
    </row>
    <row r="55" customFormat="false" ht="15" hidden="false" customHeight="false" outlineLevel="0" collapsed="false">
      <c r="A55" s="14" t="s">
        <v>203</v>
      </c>
      <c r="B55" s="14" t="s">
        <v>204</v>
      </c>
      <c r="C55" s="14" t="s">
        <v>70</v>
      </c>
      <c r="D55" s="15" t="n">
        <v>6</v>
      </c>
      <c r="E55" s="14" t="s">
        <v>170</v>
      </c>
      <c r="F55" s="6" t="n">
        <f aca="false">D55/Tham_so!$B$4*INDEX(Tham_so!$C$23:$C$27,MATCH(C55,Tham_so!$A$23:$A$27,0))</f>
        <v>12600000</v>
      </c>
    </row>
    <row r="56" customFormat="false" ht="15" hidden="false" customHeight="false" outlineLevel="0" collapsed="false">
      <c r="A56" s="14" t="s">
        <v>205</v>
      </c>
      <c r="B56" s="14" t="s">
        <v>206</v>
      </c>
      <c r="C56" s="14" t="s">
        <v>70</v>
      </c>
      <c r="D56" s="15" t="n">
        <v>5</v>
      </c>
      <c r="E56" s="14" t="s">
        <v>170</v>
      </c>
      <c r="F56" s="6" t="n">
        <f aca="false">D56/Tham_so!$B$4*INDEX(Tham_so!$C$23:$C$27,MATCH(C56,Tham_so!$A$23:$A$27,0))</f>
        <v>10500000</v>
      </c>
    </row>
    <row r="57" customFormat="false" ht="15" hidden="false" customHeight="false" outlineLevel="0" collapsed="false">
      <c r="A57" s="14" t="s">
        <v>207</v>
      </c>
      <c r="B57" s="14" t="s">
        <v>208</v>
      </c>
      <c r="C57" s="14" t="s">
        <v>68</v>
      </c>
      <c r="D57" s="15" t="n">
        <v>6</v>
      </c>
      <c r="E57" s="14" t="s">
        <v>170</v>
      </c>
      <c r="F57" s="6" t="n">
        <f aca="false">D57/Tham_so!$B$4*INDEX(Tham_so!$C$23:$C$27,MATCH(C57,Tham_so!$A$23:$A$27,0))</f>
        <v>12000000</v>
      </c>
    </row>
    <row r="58" customFormat="false" ht="15" hidden="false" customHeight="false" outlineLevel="0" collapsed="false">
      <c r="A58" s="14" t="s">
        <v>209</v>
      </c>
      <c r="B58" s="14" t="s">
        <v>210</v>
      </c>
      <c r="C58" s="14" t="s">
        <v>68</v>
      </c>
      <c r="D58" s="15" t="n">
        <v>7</v>
      </c>
      <c r="E58" s="14" t="s">
        <v>170</v>
      </c>
      <c r="F58" s="6" t="n">
        <f aca="false">D58/Tham_so!$B$4*INDEX(Tham_so!$C$23:$C$27,MATCH(C58,Tham_so!$A$23:$A$27,0))</f>
        <v>14000000</v>
      </c>
    </row>
    <row r="59" customFormat="false" ht="15" hidden="false" customHeight="false" outlineLevel="0" collapsed="false">
      <c r="A59" s="14" t="s">
        <v>211</v>
      </c>
      <c r="B59" s="14" t="s">
        <v>212</v>
      </c>
      <c r="C59" s="14" t="s">
        <v>68</v>
      </c>
      <c r="D59" s="15" t="n">
        <v>6</v>
      </c>
      <c r="E59" s="14" t="s">
        <v>170</v>
      </c>
      <c r="F59" s="6" t="n">
        <f aca="false">D59/Tham_so!$B$4*INDEX(Tham_so!$C$23:$C$27,MATCH(C59,Tham_so!$A$23:$A$27,0))</f>
        <v>12000000</v>
      </c>
    </row>
    <row r="60" customFormat="false" ht="15" hidden="false" customHeight="false" outlineLevel="0" collapsed="false">
      <c r="A60" s="14" t="s">
        <v>213</v>
      </c>
      <c r="B60" s="14" t="s">
        <v>214</v>
      </c>
      <c r="C60" s="14" t="s">
        <v>70</v>
      </c>
      <c r="D60" s="15" t="n">
        <v>4</v>
      </c>
      <c r="E60" s="14" t="s">
        <v>170</v>
      </c>
      <c r="F60" s="6" t="n">
        <f aca="false">D60/Tham_so!$B$4*INDEX(Tham_so!$C$23:$C$27,MATCH(C60,Tham_so!$A$23:$A$27,0))</f>
        <v>8400000</v>
      </c>
    </row>
    <row r="61" customFormat="false" ht="15" hidden="false" customHeight="false" outlineLevel="0" collapsed="false">
      <c r="A61" s="14" t="s">
        <v>215</v>
      </c>
      <c r="B61" s="14" t="s">
        <v>216</v>
      </c>
      <c r="C61" s="14" t="s">
        <v>68</v>
      </c>
      <c r="D61" s="15" t="n">
        <v>6</v>
      </c>
      <c r="E61" s="14" t="s">
        <v>170</v>
      </c>
      <c r="F61" s="6" t="n">
        <f aca="false">D61/Tham_so!$B$4*INDEX(Tham_so!$C$23:$C$27,MATCH(C61,Tham_so!$A$23:$A$27,0))</f>
        <v>12000000</v>
      </c>
    </row>
    <row r="62" customFormat="false" ht="15" hidden="false" customHeight="false" outlineLevel="0" collapsed="false">
      <c r="A62" s="14" t="s">
        <v>217</v>
      </c>
      <c r="B62" s="14" t="s">
        <v>218</v>
      </c>
      <c r="C62" s="14" t="s">
        <v>70</v>
      </c>
      <c r="D62" s="15" t="n">
        <v>3</v>
      </c>
      <c r="E62" s="14" t="s">
        <v>170</v>
      </c>
      <c r="F62" s="6" t="n">
        <f aca="false">D62/Tham_so!$B$4*INDEX(Tham_so!$C$23:$C$27,MATCH(C62,Tham_so!$A$23:$A$27,0))</f>
        <v>6300000</v>
      </c>
    </row>
    <row r="63" customFormat="false" ht="15" hidden="false" customHeight="false" outlineLevel="0" collapsed="false">
      <c r="A63" s="14" t="s">
        <v>219</v>
      </c>
      <c r="B63" s="14" t="s">
        <v>220</v>
      </c>
      <c r="C63" s="14" t="s">
        <v>66</v>
      </c>
      <c r="D63" s="15" t="n">
        <v>3</v>
      </c>
      <c r="E63" s="14" t="s">
        <v>170</v>
      </c>
      <c r="F63" s="6" t="n">
        <f aca="false">D63/Tham_so!$B$4*INDEX(Tham_so!$C$23:$C$27,MATCH(C63,Tham_so!$A$23:$A$27,0))</f>
        <v>6450000</v>
      </c>
    </row>
    <row r="64" customFormat="false" ht="15" hidden="false" customHeight="false" outlineLevel="0" collapsed="false">
      <c r="A64" s="14" t="s">
        <v>221</v>
      </c>
      <c r="B64" s="14" t="s">
        <v>222</v>
      </c>
      <c r="C64" s="14" t="s">
        <v>68</v>
      </c>
      <c r="D64" s="15" t="n">
        <v>3</v>
      </c>
      <c r="E64" s="14" t="s">
        <v>170</v>
      </c>
      <c r="F64" s="6" t="n">
        <f aca="false">D64/Tham_so!$B$4*INDEX(Tham_so!$C$23:$C$27,MATCH(C64,Tham_so!$A$23:$A$27,0))</f>
        <v>6000000</v>
      </c>
    </row>
    <row r="65" customFormat="false" ht="15" hidden="false" customHeight="false" outlineLevel="0" collapsed="false">
      <c r="A65" s="14" t="s">
        <v>223</v>
      </c>
      <c r="B65" s="14" t="s">
        <v>224</v>
      </c>
      <c r="C65" s="14" t="s">
        <v>68</v>
      </c>
      <c r="D65" s="15" t="n">
        <v>2</v>
      </c>
      <c r="E65" s="14" t="s">
        <v>170</v>
      </c>
      <c r="F65" s="6" t="n">
        <f aca="false">D65/Tham_so!$B$4*INDEX(Tham_so!$C$23:$C$27,MATCH(C65,Tham_so!$A$23:$A$27,0))</f>
        <v>4000000</v>
      </c>
    </row>
    <row r="66" customFormat="false" ht="15" hidden="false" customHeight="false" outlineLevel="0" collapsed="false">
      <c r="A66" s="14" t="s">
        <v>225</v>
      </c>
      <c r="B66" s="14" t="s">
        <v>226</v>
      </c>
      <c r="C66" s="14" t="s">
        <v>68</v>
      </c>
      <c r="D66" s="15" t="n">
        <v>3</v>
      </c>
      <c r="E66" s="14" t="s">
        <v>170</v>
      </c>
      <c r="F66" s="6" t="n">
        <f aca="false">D66/Tham_so!$B$4*INDEX(Tham_so!$C$23:$C$27,MATCH(C66,Tham_so!$A$23:$A$27,0))</f>
        <v>6000000</v>
      </c>
    </row>
    <row r="67" customFormat="false" ht="15" hidden="false" customHeight="false" outlineLevel="0" collapsed="false">
      <c r="A67" s="14" t="s">
        <v>227</v>
      </c>
      <c r="B67" s="14" t="s">
        <v>228</v>
      </c>
      <c r="C67" s="14" t="s">
        <v>68</v>
      </c>
      <c r="D67" s="15" t="n">
        <v>8</v>
      </c>
      <c r="E67" s="14" t="s">
        <v>170</v>
      </c>
      <c r="F67" s="6" t="n">
        <f aca="false">D67/Tham_so!$B$4*INDEX(Tham_so!$C$23:$C$27,MATCH(C67,Tham_so!$A$23:$A$27,0))</f>
        <v>16000000</v>
      </c>
    </row>
    <row r="68" customFormat="false" ht="15" hidden="false" customHeight="false" outlineLevel="0" collapsed="false">
      <c r="A68" s="14" t="s">
        <v>229</v>
      </c>
      <c r="B68" s="14" t="s">
        <v>230</v>
      </c>
      <c r="C68" s="14" t="s">
        <v>68</v>
      </c>
      <c r="D68" s="15" t="n">
        <v>4</v>
      </c>
      <c r="E68" s="14" t="s">
        <v>170</v>
      </c>
      <c r="F68" s="6" t="n">
        <f aca="false">D68/Tham_so!$B$4*INDEX(Tham_so!$C$23:$C$27,MATCH(C68,Tham_so!$A$23:$A$27,0))</f>
        <v>8000000</v>
      </c>
    </row>
    <row r="69" customFormat="false" ht="15" hidden="false" customHeight="false" outlineLevel="0" collapsed="false">
      <c r="A69" s="14" t="s">
        <v>231</v>
      </c>
      <c r="B69" s="14" t="s">
        <v>232</v>
      </c>
      <c r="C69" s="14" t="s">
        <v>70</v>
      </c>
      <c r="D69" s="15" t="n">
        <v>5</v>
      </c>
      <c r="E69" s="14" t="s">
        <v>170</v>
      </c>
      <c r="F69" s="6" t="n">
        <f aca="false">D69/Tham_so!$B$4*INDEX(Tham_so!$C$23:$C$27,MATCH(C69,Tham_so!$A$23:$A$27,0))</f>
        <v>10500000</v>
      </c>
    </row>
    <row r="70" customFormat="false" ht="15" hidden="false" customHeight="false" outlineLevel="0" collapsed="false">
      <c r="A70" s="14" t="s">
        <v>233</v>
      </c>
      <c r="B70" s="14" t="s">
        <v>234</v>
      </c>
      <c r="C70" s="14" t="s">
        <v>66</v>
      </c>
      <c r="D70" s="15" t="n">
        <v>4</v>
      </c>
      <c r="E70" s="14" t="s">
        <v>170</v>
      </c>
      <c r="F70" s="6" t="n">
        <f aca="false">D70/Tham_so!$B$4*INDEX(Tham_so!$C$23:$C$27,MATCH(C70,Tham_so!$A$23:$A$27,0))</f>
        <v>8600000</v>
      </c>
    </row>
    <row r="71" customFormat="false" ht="15" hidden="false" customHeight="false" outlineLevel="0" collapsed="false">
      <c r="A71" s="14" t="s">
        <v>235</v>
      </c>
      <c r="B71" s="14" t="s">
        <v>236</v>
      </c>
      <c r="C71" s="14" t="s">
        <v>72</v>
      </c>
      <c r="D71" s="15" t="n">
        <v>4</v>
      </c>
      <c r="E71" s="14" t="s">
        <v>170</v>
      </c>
      <c r="F71" s="6" t="n">
        <f aca="false">D71/Tham_so!$B$4*INDEX(Tham_so!$C$23:$C$27,MATCH(C71,Tham_so!$A$23:$A$27,0))</f>
        <v>10400000</v>
      </c>
    </row>
    <row r="72" customFormat="false" ht="15" hidden="false" customHeight="false" outlineLevel="0" collapsed="false">
      <c r="A72" s="14" t="s">
        <v>237</v>
      </c>
      <c r="B72" s="14" t="s">
        <v>238</v>
      </c>
      <c r="C72" s="14" t="s">
        <v>66</v>
      </c>
      <c r="D72" s="15" t="n">
        <v>3</v>
      </c>
      <c r="E72" s="14" t="s">
        <v>170</v>
      </c>
      <c r="F72" s="6" t="n">
        <f aca="false">D72/Tham_so!$B$4*INDEX(Tham_so!$C$23:$C$27,MATCH(C72,Tham_so!$A$23:$A$27,0))</f>
        <v>6450000</v>
      </c>
    </row>
    <row r="73" customFormat="false" ht="15" hidden="false" customHeight="false" outlineLevel="0" collapsed="false">
      <c r="A73" s="14" t="s">
        <v>239</v>
      </c>
      <c r="B73" s="14" t="s">
        <v>240</v>
      </c>
      <c r="C73" s="14" t="s">
        <v>64</v>
      </c>
      <c r="D73" s="15" t="n">
        <v>4</v>
      </c>
      <c r="E73" s="14" t="s">
        <v>241</v>
      </c>
      <c r="F73" s="6" t="n">
        <f aca="false">D73/Tham_so!$B$4*INDEX(Tham_so!$C$23:$C$27,MATCH(C73,Tham_so!$A$23:$A$27,0))</f>
        <v>11000000</v>
      </c>
    </row>
    <row r="74" customFormat="false" ht="15" hidden="false" customHeight="false" outlineLevel="0" collapsed="false">
      <c r="A74" s="14" t="s">
        <v>242</v>
      </c>
      <c r="B74" s="14" t="s">
        <v>243</v>
      </c>
      <c r="C74" s="14" t="s">
        <v>64</v>
      </c>
      <c r="D74" s="15" t="n">
        <v>2</v>
      </c>
      <c r="E74" s="14" t="s">
        <v>241</v>
      </c>
      <c r="F74" s="6" t="n">
        <f aca="false">D74/Tham_so!$B$4*INDEX(Tham_so!$C$23:$C$27,MATCH(C74,Tham_so!$A$23:$A$27,0))</f>
        <v>5500000</v>
      </c>
    </row>
    <row r="75" customFormat="false" ht="15" hidden="false" customHeight="false" outlineLevel="0" collapsed="false">
      <c r="A75" s="14" t="s">
        <v>244</v>
      </c>
      <c r="B75" s="14" t="s">
        <v>245</v>
      </c>
      <c r="C75" s="14" t="s">
        <v>64</v>
      </c>
      <c r="D75" s="15" t="n">
        <v>2.5</v>
      </c>
      <c r="E75" s="14" t="s">
        <v>241</v>
      </c>
      <c r="F75" s="6" t="n">
        <f aca="false">D75/Tham_so!$B$4*INDEX(Tham_so!$C$23:$C$27,MATCH(C75,Tham_so!$A$23:$A$27,0))</f>
        <v>6875000</v>
      </c>
    </row>
    <row r="76" customFormat="false" ht="15" hidden="false" customHeight="false" outlineLevel="0" collapsed="false">
      <c r="A76" s="14" t="s">
        <v>246</v>
      </c>
      <c r="B76" s="14" t="s">
        <v>247</v>
      </c>
      <c r="C76" s="14" t="s">
        <v>64</v>
      </c>
      <c r="D76" s="15" t="n">
        <v>2</v>
      </c>
      <c r="E76" s="14" t="s">
        <v>241</v>
      </c>
      <c r="F76" s="6" t="n">
        <f aca="false">D76/Tham_so!$B$4*INDEX(Tham_so!$C$23:$C$27,MATCH(C76,Tham_so!$A$23:$A$27,0))</f>
        <v>5500000</v>
      </c>
    </row>
    <row r="77" customFormat="false" ht="15" hidden="false" customHeight="false" outlineLevel="0" collapsed="false">
      <c r="A77" s="14" t="s">
        <v>248</v>
      </c>
      <c r="B77" s="14" t="s">
        <v>249</v>
      </c>
      <c r="C77" s="14" t="s">
        <v>64</v>
      </c>
      <c r="D77" s="15" t="n">
        <v>2.5</v>
      </c>
      <c r="E77" s="14" t="s">
        <v>241</v>
      </c>
      <c r="F77" s="6" t="n">
        <f aca="false">D77/Tham_so!$B$4*INDEX(Tham_so!$C$23:$C$27,MATCH(C77,Tham_so!$A$23:$A$27,0))</f>
        <v>6875000</v>
      </c>
    </row>
    <row r="78" customFormat="false" ht="15" hidden="false" customHeight="false" outlineLevel="0" collapsed="false">
      <c r="A78" s="14" t="s">
        <v>250</v>
      </c>
      <c r="B78" s="14" t="s">
        <v>251</v>
      </c>
      <c r="C78" s="14" t="s">
        <v>64</v>
      </c>
      <c r="D78" s="15" t="n">
        <v>2.5</v>
      </c>
      <c r="E78" s="14" t="s">
        <v>241</v>
      </c>
      <c r="F78" s="6" t="n">
        <f aca="false">D78/Tham_so!$B$4*INDEX(Tham_so!$C$23:$C$27,MATCH(C78,Tham_so!$A$23:$A$27,0))</f>
        <v>6875000</v>
      </c>
    </row>
    <row r="79" customFormat="false" ht="15" hidden="false" customHeight="false" outlineLevel="0" collapsed="false">
      <c r="A79" s="14" t="s">
        <v>252</v>
      </c>
      <c r="B79" s="14" t="s">
        <v>253</v>
      </c>
      <c r="C79" s="14" t="s">
        <v>66</v>
      </c>
      <c r="D79" s="15" t="n">
        <v>4</v>
      </c>
      <c r="E79" s="14" t="s">
        <v>241</v>
      </c>
      <c r="F79" s="6" t="n">
        <f aca="false">D79/Tham_so!$B$4*INDEX(Tham_so!$C$23:$C$27,MATCH(C79,Tham_so!$A$23:$A$27,0))</f>
        <v>8600000</v>
      </c>
    </row>
    <row r="80" customFormat="false" ht="15" hidden="false" customHeight="false" outlineLevel="0" collapsed="false">
      <c r="A80" s="14" t="s">
        <v>254</v>
      </c>
      <c r="B80" s="14" t="s">
        <v>255</v>
      </c>
      <c r="C80" s="14" t="s">
        <v>66</v>
      </c>
      <c r="D80" s="15" t="n">
        <v>5</v>
      </c>
      <c r="E80" s="14" t="s">
        <v>241</v>
      </c>
      <c r="F80" s="6" t="n">
        <f aca="false">D80/Tham_so!$B$4*INDEX(Tham_so!$C$23:$C$27,MATCH(C80,Tham_so!$A$23:$A$27,0))</f>
        <v>10750000</v>
      </c>
    </row>
    <row r="81" customFormat="false" ht="15" hidden="false" customHeight="false" outlineLevel="0" collapsed="false">
      <c r="A81" s="14" t="s">
        <v>256</v>
      </c>
      <c r="B81" s="14" t="s">
        <v>257</v>
      </c>
      <c r="C81" s="14" t="s">
        <v>66</v>
      </c>
      <c r="D81" s="15" t="n">
        <v>4</v>
      </c>
      <c r="E81" s="14" t="s">
        <v>241</v>
      </c>
      <c r="F81" s="6" t="n">
        <f aca="false">D81/Tham_so!$B$4*INDEX(Tham_so!$C$23:$C$27,MATCH(C81,Tham_so!$A$23:$A$27,0))</f>
        <v>8600000</v>
      </c>
    </row>
    <row r="82" customFormat="false" ht="15" hidden="false" customHeight="false" outlineLevel="0" collapsed="false">
      <c r="A82" s="14" t="s">
        <v>258</v>
      </c>
      <c r="B82" s="14" t="s">
        <v>259</v>
      </c>
      <c r="C82" s="14" t="s">
        <v>70</v>
      </c>
      <c r="D82" s="15" t="n">
        <v>4</v>
      </c>
      <c r="E82" s="14" t="s">
        <v>241</v>
      </c>
      <c r="F82" s="6" t="n">
        <f aca="false">D82/Tham_so!$B$4*INDEX(Tham_so!$C$23:$C$27,MATCH(C82,Tham_so!$A$23:$A$27,0))</f>
        <v>8400000</v>
      </c>
    </row>
    <row r="83" customFormat="false" ht="15" hidden="false" customHeight="false" outlineLevel="0" collapsed="false">
      <c r="A83" s="14" t="s">
        <v>260</v>
      </c>
      <c r="B83" s="14" t="s">
        <v>261</v>
      </c>
      <c r="C83" s="14" t="s">
        <v>66</v>
      </c>
      <c r="D83" s="15" t="n">
        <v>3</v>
      </c>
      <c r="E83" s="14" t="s">
        <v>241</v>
      </c>
      <c r="F83" s="6" t="n">
        <f aca="false">D83/Tham_so!$B$4*INDEX(Tham_so!$C$23:$C$27,MATCH(C83,Tham_so!$A$23:$A$27,0))</f>
        <v>6450000</v>
      </c>
    </row>
    <row r="84" customFormat="false" ht="15" hidden="false" customHeight="false" outlineLevel="0" collapsed="false">
      <c r="A84" s="14" t="s">
        <v>262</v>
      </c>
      <c r="B84" s="14" t="s">
        <v>263</v>
      </c>
      <c r="C84" s="14" t="s">
        <v>66</v>
      </c>
      <c r="D84" s="15" t="n">
        <v>3</v>
      </c>
      <c r="E84" s="14" t="s">
        <v>241</v>
      </c>
      <c r="F84" s="6" t="n">
        <f aca="false">D84/Tham_so!$B$4*INDEX(Tham_so!$C$23:$C$27,MATCH(C84,Tham_so!$A$23:$A$27,0))</f>
        <v>6450000</v>
      </c>
    </row>
    <row r="85" customFormat="false" ht="15" hidden="false" customHeight="false" outlineLevel="0" collapsed="false">
      <c r="A85" s="14" t="s">
        <v>264</v>
      </c>
      <c r="B85" s="14" t="s">
        <v>265</v>
      </c>
      <c r="C85" s="14" t="s">
        <v>66</v>
      </c>
      <c r="D85" s="15" t="n">
        <v>4</v>
      </c>
      <c r="E85" s="14" t="s">
        <v>241</v>
      </c>
      <c r="F85" s="6" t="n">
        <f aca="false">D85/Tham_so!$B$4*INDEX(Tham_so!$C$23:$C$27,MATCH(C85,Tham_so!$A$23:$A$27,0))</f>
        <v>8600000</v>
      </c>
    </row>
    <row r="86" customFormat="false" ht="15" hidden="false" customHeight="false" outlineLevel="0" collapsed="false">
      <c r="A86" s="14" t="s">
        <v>266</v>
      </c>
      <c r="B86" s="14" t="s">
        <v>267</v>
      </c>
      <c r="C86" s="14" t="s">
        <v>66</v>
      </c>
      <c r="D86" s="15" t="n">
        <v>4</v>
      </c>
      <c r="E86" s="14" t="s">
        <v>241</v>
      </c>
      <c r="F86" s="6" t="n">
        <f aca="false">D86/Tham_so!$B$4*INDEX(Tham_so!$C$23:$C$27,MATCH(C86,Tham_so!$A$23:$A$27,0))</f>
        <v>8600000</v>
      </c>
    </row>
    <row r="87" customFormat="false" ht="15" hidden="false" customHeight="false" outlineLevel="0" collapsed="false">
      <c r="A87" s="14" t="s">
        <v>268</v>
      </c>
      <c r="B87" s="14" t="s">
        <v>269</v>
      </c>
      <c r="C87" s="14" t="s">
        <v>70</v>
      </c>
      <c r="D87" s="15" t="n">
        <v>4</v>
      </c>
      <c r="E87" s="14" t="s">
        <v>241</v>
      </c>
      <c r="F87" s="6" t="n">
        <f aca="false">D87/Tham_so!$B$4*INDEX(Tham_so!$C$23:$C$27,MATCH(C87,Tham_so!$A$23:$A$27,0))</f>
        <v>8400000</v>
      </c>
    </row>
    <row r="88" customFormat="false" ht="15" hidden="false" customHeight="false" outlineLevel="0" collapsed="false">
      <c r="A88" s="14" t="s">
        <v>270</v>
      </c>
      <c r="B88" s="14" t="s">
        <v>271</v>
      </c>
      <c r="C88" s="14" t="s">
        <v>70</v>
      </c>
      <c r="D88" s="15" t="n">
        <v>4</v>
      </c>
      <c r="E88" s="14" t="s">
        <v>241</v>
      </c>
      <c r="F88" s="6" t="n">
        <f aca="false">D88/Tham_so!$B$4*INDEX(Tham_so!$C$23:$C$27,MATCH(C88,Tham_so!$A$23:$A$27,0))</f>
        <v>8400000</v>
      </c>
    </row>
    <row r="89" customFormat="false" ht="15" hidden="false" customHeight="false" outlineLevel="0" collapsed="false">
      <c r="A89" s="14" t="s">
        <v>272</v>
      </c>
      <c r="B89" s="14" t="s">
        <v>273</v>
      </c>
      <c r="C89" s="14" t="s">
        <v>70</v>
      </c>
      <c r="D89" s="15" t="n">
        <v>4</v>
      </c>
      <c r="E89" s="14" t="s">
        <v>241</v>
      </c>
      <c r="F89" s="6" t="n">
        <f aca="false">D89/Tham_so!$B$4*INDEX(Tham_so!$C$23:$C$27,MATCH(C89,Tham_so!$A$23:$A$27,0))</f>
        <v>8400000</v>
      </c>
    </row>
    <row r="90" customFormat="false" ht="15" hidden="false" customHeight="false" outlineLevel="0" collapsed="false">
      <c r="A90" s="14" t="s">
        <v>274</v>
      </c>
      <c r="B90" s="14" t="s">
        <v>275</v>
      </c>
      <c r="C90" s="14" t="s">
        <v>66</v>
      </c>
      <c r="D90" s="15" t="n">
        <v>2</v>
      </c>
      <c r="E90" s="14" t="s">
        <v>241</v>
      </c>
      <c r="F90" s="6" t="n">
        <f aca="false">D90/Tham_so!$B$4*INDEX(Tham_so!$C$23:$C$27,MATCH(C90,Tham_so!$A$23:$A$27,0))</f>
        <v>4300000</v>
      </c>
    </row>
    <row r="91" customFormat="false" ht="15" hidden="false" customHeight="false" outlineLevel="0" collapsed="false">
      <c r="A91" s="14" t="s">
        <v>276</v>
      </c>
      <c r="B91" s="14" t="s">
        <v>277</v>
      </c>
      <c r="C91" s="14" t="s">
        <v>70</v>
      </c>
      <c r="D91" s="15" t="n">
        <v>5</v>
      </c>
      <c r="E91" s="14" t="s">
        <v>241</v>
      </c>
      <c r="F91" s="6" t="n">
        <f aca="false">D91/Tham_so!$B$4*INDEX(Tham_so!$C$23:$C$27,MATCH(C91,Tham_so!$A$23:$A$27,0))</f>
        <v>10500000</v>
      </c>
    </row>
    <row r="92" customFormat="false" ht="15" hidden="false" customHeight="false" outlineLevel="0" collapsed="false">
      <c r="A92" s="14" t="s">
        <v>278</v>
      </c>
      <c r="B92" s="14" t="s">
        <v>279</v>
      </c>
      <c r="C92" s="14" t="s">
        <v>70</v>
      </c>
      <c r="D92" s="15" t="n">
        <v>5</v>
      </c>
      <c r="E92" s="14" t="s">
        <v>241</v>
      </c>
      <c r="F92" s="6" t="n">
        <f aca="false">D92/Tham_so!$B$4*INDEX(Tham_so!$C$23:$C$27,MATCH(C92,Tham_so!$A$23:$A$27,0))</f>
        <v>10500000</v>
      </c>
    </row>
    <row r="93" customFormat="false" ht="15" hidden="false" customHeight="false" outlineLevel="0" collapsed="false">
      <c r="A93" s="14" t="s">
        <v>280</v>
      </c>
      <c r="B93" s="14" t="s">
        <v>281</v>
      </c>
      <c r="C93" s="14" t="s">
        <v>70</v>
      </c>
      <c r="D93" s="15" t="n">
        <v>5</v>
      </c>
      <c r="E93" s="14" t="s">
        <v>241</v>
      </c>
      <c r="F93" s="6" t="n">
        <f aca="false">D93/Tham_so!$B$4*INDEX(Tham_so!$C$23:$C$27,MATCH(C93,Tham_so!$A$23:$A$27,0))</f>
        <v>10500000</v>
      </c>
    </row>
    <row r="94" customFormat="false" ht="15" hidden="false" customHeight="false" outlineLevel="0" collapsed="false">
      <c r="A94" s="14" t="s">
        <v>282</v>
      </c>
      <c r="B94" s="14" t="s">
        <v>283</v>
      </c>
      <c r="C94" s="14" t="s">
        <v>70</v>
      </c>
      <c r="D94" s="15" t="n">
        <v>5</v>
      </c>
      <c r="E94" s="14" t="s">
        <v>241</v>
      </c>
      <c r="F94" s="6" t="n">
        <f aca="false">D94/Tham_so!$B$4*INDEX(Tham_so!$C$23:$C$27,MATCH(C94,Tham_so!$A$23:$A$27,0))</f>
        <v>10500000</v>
      </c>
    </row>
    <row r="95" customFormat="false" ht="15" hidden="false" customHeight="false" outlineLevel="0" collapsed="false">
      <c r="A95" s="14" t="s">
        <v>284</v>
      </c>
      <c r="B95" s="14" t="s">
        <v>285</v>
      </c>
      <c r="C95" s="14" t="s">
        <v>70</v>
      </c>
      <c r="D95" s="15" t="n">
        <v>6</v>
      </c>
      <c r="E95" s="14" t="s">
        <v>241</v>
      </c>
      <c r="F95" s="6" t="n">
        <f aca="false">D95/Tham_so!$B$4*INDEX(Tham_so!$C$23:$C$27,MATCH(C95,Tham_so!$A$23:$A$27,0))</f>
        <v>12600000</v>
      </c>
    </row>
    <row r="96" customFormat="false" ht="15" hidden="false" customHeight="false" outlineLevel="0" collapsed="false">
      <c r="A96" s="14" t="s">
        <v>286</v>
      </c>
      <c r="B96" s="14" t="s">
        <v>287</v>
      </c>
      <c r="C96" s="14" t="s">
        <v>70</v>
      </c>
      <c r="D96" s="15" t="n">
        <v>5</v>
      </c>
      <c r="E96" s="14" t="s">
        <v>241</v>
      </c>
      <c r="F96" s="6" t="n">
        <f aca="false">D96/Tham_so!$B$4*INDEX(Tham_so!$C$23:$C$27,MATCH(C96,Tham_so!$A$23:$A$27,0))</f>
        <v>10500000</v>
      </c>
    </row>
    <row r="97" customFormat="false" ht="15" hidden="false" customHeight="false" outlineLevel="0" collapsed="false">
      <c r="A97" s="14" t="s">
        <v>288</v>
      </c>
      <c r="B97" s="14" t="s">
        <v>289</v>
      </c>
      <c r="C97" s="14" t="s">
        <v>70</v>
      </c>
      <c r="D97" s="15" t="n">
        <v>6</v>
      </c>
      <c r="E97" s="14" t="s">
        <v>241</v>
      </c>
      <c r="F97" s="6" t="n">
        <f aca="false">D97/Tham_so!$B$4*INDEX(Tham_so!$C$23:$C$27,MATCH(C97,Tham_so!$A$23:$A$27,0))</f>
        <v>12600000</v>
      </c>
    </row>
    <row r="98" customFormat="false" ht="15" hidden="false" customHeight="false" outlineLevel="0" collapsed="false">
      <c r="A98" s="14" t="s">
        <v>290</v>
      </c>
      <c r="B98" s="14" t="s">
        <v>291</v>
      </c>
      <c r="C98" s="14" t="s">
        <v>70</v>
      </c>
      <c r="D98" s="15" t="n">
        <v>5</v>
      </c>
      <c r="E98" s="14" t="s">
        <v>241</v>
      </c>
      <c r="F98" s="6" t="n">
        <f aca="false">D98/Tham_so!$B$4*INDEX(Tham_so!$C$23:$C$27,MATCH(C98,Tham_so!$A$23:$A$27,0))</f>
        <v>10500000</v>
      </c>
    </row>
    <row r="99" customFormat="false" ht="15" hidden="false" customHeight="false" outlineLevel="0" collapsed="false">
      <c r="A99" s="14" t="s">
        <v>292</v>
      </c>
      <c r="B99" s="14" t="s">
        <v>293</v>
      </c>
      <c r="C99" s="14" t="s">
        <v>70</v>
      </c>
      <c r="D99" s="15" t="n">
        <v>6</v>
      </c>
      <c r="E99" s="14" t="s">
        <v>241</v>
      </c>
      <c r="F99" s="6" t="n">
        <f aca="false">D99/Tham_so!$B$4*INDEX(Tham_so!$C$23:$C$27,MATCH(C99,Tham_so!$A$23:$A$27,0))</f>
        <v>12600000</v>
      </c>
    </row>
    <row r="100" customFormat="false" ht="15" hidden="false" customHeight="false" outlineLevel="0" collapsed="false">
      <c r="A100" s="14" t="s">
        <v>294</v>
      </c>
      <c r="B100" s="14" t="s">
        <v>295</v>
      </c>
      <c r="C100" s="14" t="s">
        <v>70</v>
      </c>
      <c r="D100" s="15" t="n">
        <v>5</v>
      </c>
      <c r="E100" s="14" t="s">
        <v>241</v>
      </c>
      <c r="F100" s="6" t="n">
        <f aca="false">D100/Tham_so!$B$4*INDEX(Tham_so!$C$23:$C$27,MATCH(C100,Tham_so!$A$23:$A$27,0))</f>
        <v>10500000</v>
      </c>
    </row>
    <row r="101" customFormat="false" ht="15" hidden="false" customHeight="false" outlineLevel="0" collapsed="false">
      <c r="A101" s="14" t="s">
        <v>296</v>
      </c>
      <c r="B101" s="14" t="s">
        <v>297</v>
      </c>
      <c r="C101" s="14" t="s">
        <v>70</v>
      </c>
      <c r="D101" s="15" t="n">
        <v>3</v>
      </c>
      <c r="E101" s="14" t="s">
        <v>241</v>
      </c>
      <c r="F101" s="6" t="n">
        <f aca="false">D101/Tham_so!$B$4*INDEX(Tham_so!$C$23:$C$27,MATCH(C101,Tham_so!$A$23:$A$27,0))</f>
        <v>6300000</v>
      </c>
    </row>
    <row r="102" customFormat="false" ht="15" hidden="false" customHeight="false" outlineLevel="0" collapsed="false">
      <c r="A102" s="14" t="s">
        <v>298</v>
      </c>
      <c r="B102" s="14" t="s">
        <v>299</v>
      </c>
      <c r="C102" s="14" t="s">
        <v>68</v>
      </c>
      <c r="D102" s="15" t="n">
        <v>7</v>
      </c>
      <c r="E102" s="14" t="s">
        <v>241</v>
      </c>
      <c r="F102" s="6" t="n">
        <f aca="false">D102/Tham_so!$B$4*INDEX(Tham_so!$C$23:$C$27,MATCH(C102,Tham_so!$A$23:$A$27,0))</f>
        <v>14000000</v>
      </c>
    </row>
    <row r="103" customFormat="false" ht="15" hidden="false" customHeight="false" outlineLevel="0" collapsed="false">
      <c r="A103" s="14" t="s">
        <v>300</v>
      </c>
      <c r="B103" s="14" t="s">
        <v>301</v>
      </c>
      <c r="C103" s="14" t="s">
        <v>68</v>
      </c>
      <c r="D103" s="15" t="n">
        <v>6</v>
      </c>
      <c r="E103" s="14" t="s">
        <v>241</v>
      </c>
      <c r="F103" s="6" t="n">
        <f aca="false">D103/Tham_so!$B$4*INDEX(Tham_so!$C$23:$C$27,MATCH(C103,Tham_so!$A$23:$A$27,0))</f>
        <v>12000000</v>
      </c>
    </row>
    <row r="104" customFormat="false" ht="15" hidden="false" customHeight="false" outlineLevel="0" collapsed="false">
      <c r="A104" s="14" t="s">
        <v>302</v>
      </c>
      <c r="B104" s="14" t="s">
        <v>303</v>
      </c>
      <c r="C104" s="14" t="s">
        <v>68</v>
      </c>
      <c r="D104" s="15" t="n">
        <v>9</v>
      </c>
      <c r="E104" s="14" t="s">
        <v>241</v>
      </c>
      <c r="F104" s="6" t="n">
        <f aca="false">D104/Tham_so!$B$4*INDEX(Tham_so!$C$23:$C$27,MATCH(C104,Tham_so!$A$23:$A$27,0))</f>
        <v>18000000</v>
      </c>
    </row>
    <row r="105" customFormat="false" ht="15" hidden="false" customHeight="false" outlineLevel="0" collapsed="false">
      <c r="A105" s="14" t="s">
        <v>304</v>
      </c>
      <c r="B105" s="14" t="s">
        <v>305</v>
      </c>
      <c r="C105" s="14" t="s">
        <v>68</v>
      </c>
      <c r="D105" s="15" t="n">
        <v>6</v>
      </c>
      <c r="E105" s="14" t="s">
        <v>241</v>
      </c>
      <c r="F105" s="6" t="n">
        <f aca="false">D105/Tham_so!$B$4*INDEX(Tham_so!$C$23:$C$27,MATCH(C105,Tham_so!$A$23:$A$27,0))</f>
        <v>12000000</v>
      </c>
    </row>
    <row r="106" customFormat="false" ht="15" hidden="false" customHeight="false" outlineLevel="0" collapsed="false">
      <c r="A106" s="14" t="s">
        <v>306</v>
      </c>
      <c r="B106" s="14" t="s">
        <v>307</v>
      </c>
      <c r="C106" s="14" t="s">
        <v>70</v>
      </c>
      <c r="D106" s="15" t="n">
        <v>2</v>
      </c>
      <c r="E106" s="14" t="s">
        <v>241</v>
      </c>
      <c r="F106" s="6" t="n">
        <f aca="false">D106/Tham_so!$B$4*INDEX(Tham_so!$C$23:$C$27,MATCH(C106,Tham_so!$A$23:$A$27,0))</f>
        <v>4200000</v>
      </c>
    </row>
    <row r="107" customFormat="false" ht="15" hidden="false" customHeight="false" outlineLevel="0" collapsed="false">
      <c r="A107" s="14" t="s">
        <v>308</v>
      </c>
      <c r="B107" s="14" t="s">
        <v>309</v>
      </c>
      <c r="C107" s="14" t="s">
        <v>68</v>
      </c>
      <c r="D107" s="15" t="n">
        <v>6</v>
      </c>
      <c r="E107" s="14" t="s">
        <v>241</v>
      </c>
      <c r="F107" s="6" t="n">
        <f aca="false">D107/Tham_so!$B$4*INDEX(Tham_so!$C$23:$C$27,MATCH(C107,Tham_so!$A$23:$A$27,0))</f>
        <v>12000000</v>
      </c>
    </row>
    <row r="108" customFormat="false" ht="15" hidden="false" customHeight="false" outlineLevel="0" collapsed="false">
      <c r="A108" s="14" t="s">
        <v>310</v>
      </c>
      <c r="B108" s="14" t="s">
        <v>311</v>
      </c>
      <c r="C108" s="14" t="s">
        <v>70</v>
      </c>
      <c r="D108" s="15" t="n">
        <v>4</v>
      </c>
      <c r="E108" s="14" t="s">
        <v>241</v>
      </c>
      <c r="F108" s="6" t="n">
        <f aca="false">D108/Tham_so!$B$4*INDEX(Tham_so!$C$23:$C$27,MATCH(C108,Tham_so!$A$23:$A$27,0))</f>
        <v>8400000</v>
      </c>
    </row>
    <row r="109" customFormat="false" ht="15" hidden="false" customHeight="false" outlineLevel="0" collapsed="false">
      <c r="A109" s="14" t="s">
        <v>312</v>
      </c>
      <c r="B109" s="14" t="s">
        <v>313</v>
      </c>
      <c r="C109" s="14" t="s">
        <v>70</v>
      </c>
      <c r="D109" s="15" t="n">
        <v>2</v>
      </c>
      <c r="E109" s="14" t="s">
        <v>241</v>
      </c>
      <c r="F109" s="6" t="n">
        <f aca="false">D109/Tham_so!$B$4*INDEX(Tham_so!$C$23:$C$27,MATCH(C109,Tham_so!$A$23:$A$27,0))</f>
        <v>4200000</v>
      </c>
    </row>
    <row r="110" customFormat="false" ht="15" hidden="false" customHeight="false" outlineLevel="0" collapsed="false">
      <c r="A110" s="14" t="s">
        <v>314</v>
      </c>
      <c r="B110" s="14" t="s">
        <v>315</v>
      </c>
      <c r="C110" s="14" t="s">
        <v>66</v>
      </c>
      <c r="D110" s="15" t="n">
        <v>3</v>
      </c>
      <c r="E110" s="14" t="s">
        <v>241</v>
      </c>
      <c r="F110" s="6" t="n">
        <f aca="false">D110/Tham_so!$B$4*INDEX(Tham_so!$C$23:$C$27,MATCH(C110,Tham_so!$A$23:$A$27,0))</f>
        <v>6450000</v>
      </c>
    </row>
    <row r="111" customFormat="false" ht="15" hidden="false" customHeight="false" outlineLevel="0" collapsed="false">
      <c r="A111" s="14" t="s">
        <v>316</v>
      </c>
      <c r="B111" s="14" t="s">
        <v>317</v>
      </c>
      <c r="C111" s="14" t="s">
        <v>68</v>
      </c>
      <c r="D111" s="15" t="n">
        <v>5</v>
      </c>
      <c r="E111" s="14" t="s">
        <v>241</v>
      </c>
      <c r="F111" s="6" t="n">
        <f aca="false">D111/Tham_so!$B$4*INDEX(Tham_so!$C$23:$C$27,MATCH(C111,Tham_so!$A$23:$A$27,0))</f>
        <v>10000000</v>
      </c>
    </row>
    <row r="112" customFormat="false" ht="15" hidden="false" customHeight="false" outlineLevel="0" collapsed="false">
      <c r="A112" s="14" t="s">
        <v>318</v>
      </c>
      <c r="B112" s="14" t="s">
        <v>319</v>
      </c>
      <c r="C112" s="14" t="s">
        <v>68</v>
      </c>
      <c r="D112" s="15" t="n">
        <v>3</v>
      </c>
      <c r="E112" s="14" t="s">
        <v>241</v>
      </c>
      <c r="F112" s="6" t="n">
        <f aca="false">D112/Tham_so!$B$4*INDEX(Tham_so!$C$23:$C$27,MATCH(C112,Tham_so!$A$23:$A$27,0))</f>
        <v>6000000</v>
      </c>
    </row>
    <row r="113" customFormat="false" ht="15" hidden="false" customHeight="false" outlineLevel="0" collapsed="false">
      <c r="A113" s="14" t="s">
        <v>320</v>
      </c>
      <c r="B113" s="14" t="s">
        <v>321</v>
      </c>
      <c r="C113" s="14" t="s">
        <v>68</v>
      </c>
      <c r="D113" s="15" t="n">
        <v>10</v>
      </c>
      <c r="E113" s="14" t="s">
        <v>241</v>
      </c>
      <c r="F113" s="6" t="n">
        <f aca="false">D113/Tham_so!$B$4*INDEX(Tham_so!$C$23:$C$27,MATCH(C113,Tham_so!$A$23:$A$27,0))</f>
        <v>20000000</v>
      </c>
    </row>
    <row r="114" customFormat="false" ht="15" hidden="false" customHeight="false" outlineLevel="0" collapsed="false">
      <c r="A114" s="14" t="s">
        <v>322</v>
      </c>
      <c r="B114" s="14" t="s">
        <v>323</v>
      </c>
      <c r="C114" s="14" t="s">
        <v>68</v>
      </c>
      <c r="D114" s="15" t="n">
        <v>8</v>
      </c>
      <c r="E114" s="14" t="s">
        <v>241</v>
      </c>
      <c r="F114" s="6" t="n">
        <f aca="false">D114/Tham_so!$B$4*INDEX(Tham_so!$C$23:$C$27,MATCH(C114,Tham_so!$A$23:$A$27,0))</f>
        <v>16000000</v>
      </c>
    </row>
    <row r="115" customFormat="false" ht="15" hidden="false" customHeight="false" outlineLevel="0" collapsed="false">
      <c r="A115" s="14" t="s">
        <v>324</v>
      </c>
      <c r="B115" s="14" t="s">
        <v>325</v>
      </c>
      <c r="C115" s="14" t="s">
        <v>70</v>
      </c>
      <c r="D115" s="15" t="n">
        <v>8</v>
      </c>
      <c r="E115" s="14" t="s">
        <v>241</v>
      </c>
      <c r="F115" s="6" t="n">
        <f aca="false">D115/Tham_so!$B$4*INDEX(Tham_so!$C$23:$C$27,MATCH(C115,Tham_so!$A$23:$A$27,0))</f>
        <v>16800000</v>
      </c>
    </row>
    <row r="116" customFormat="false" ht="15" hidden="false" customHeight="false" outlineLevel="0" collapsed="false">
      <c r="A116" s="14" t="s">
        <v>326</v>
      </c>
      <c r="B116" s="14" t="s">
        <v>327</v>
      </c>
      <c r="C116" s="14" t="s">
        <v>66</v>
      </c>
      <c r="D116" s="15" t="n">
        <v>3</v>
      </c>
      <c r="E116" s="14" t="s">
        <v>241</v>
      </c>
      <c r="F116" s="6" t="n">
        <f aca="false">D116/Tham_so!$B$4*INDEX(Tham_so!$C$23:$C$27,MATCH(C116,Tham_so!$A$23:$A$27,0))</f>
        <v>6450000</v>
      </c>
    </row>
    <row r="117" customFormat="false" ht="15" hidden="false" customHeight="false" outlineLevel="0" collapsed="false">
      <c r="A117" s="14" t="s">
        <v>328</v>
      </c>
      <c r="B117" s="14" t="s">
        <v>329</v>
      </c>
      <c r="C117" s="14" t="s">
        <v>72</v>
      </c>
      <c r="D117" s="15" t="n">
        <v>4</v>
      </c>
      <c r="E117" s="14" t="s">
        <v>241</v>
      </c>
      <c r="F117" s="6" t="n">
        <f aca="false">D117/Tham_so!$B$4*INDEX(Tham_so!$C$23:$C$27,MATCH(C117,Tham_so!$A$23:$A$27,0))</f>
        <v>10400000</v>
      </c>
    </row>
    <row r="118" customFormat="false" ht="15" hidden="false" customHeight="false" outlineLevel="0" collapsed="false">
      <c r="A118" s="14" t="s">
        <v>330</v>
      </c>
      <c r="B118" s="14" t="s">
        <v>331</v>
      </c>
      <c r="C118" s="14" t="s">
        <v>72</v>
      </c>
      <c r="D118" s="15" t="n">
        <v>3</v>
      </c>
      <c r="E118" s="14" t="s">
        <v>241</v>
      </c>
      <c r="F118" s="6" t="n">
        <f aca="false">D118/Tham_so!$B$4*INDEX(Tham_so!$C$23:$C$27,MATCH(C118,Tham_so!$A$23:$A$27,0))</f>
        <v>7800000</v>
      </c>
    </row>
    <row r="119" customFormat="false" ht="15" hidden="false" customHeight="false" outlineLevel="0" collapsed="false">
      <c r="A119" s="14" t="s">
        <v>332</v>
      </c>
      <c r="B119" s="14" t="s">
        <v>333</v>
      </c>
      <c r="C119" s="14" t="s">
        <v>70</v>
      </c>
      <c r="D119" s="15" t="n">
        <v>2</v>
      </c>
      <c r="E119" s="14" t="s">
        <v>241</v>
      </c>
      <c r="F119" s="6" t="n">
        <f aca="false">D119/Tham_so!$B$4*INDEX(Tham_so!$C$23:$C$27,MATCH(C119,Tham_so!$A$23:$A$27,0))</f>
        <v>4200000</v>
      </c>
    </row>
    <row r="120" customFormat="false" ht="15" hidden="false" customHeight="false" outlineLevel="0" collapsed="false">
      <c r="A120" s="14" t="s">
        <v>334</v>
      </c>
      <c r="B120" s="14" t="s">
        <v>335</v>
      </c>
      <c r="C120" s="14" t="s">
        <v>64</v>
      </c>
      <c r="D120" s="15" t="n">
        <v>3.5</v>
      </c>
      <c r="E120" s="14" t="s">
        <v>336</v>
      </c>
      <c r="F120" s="6" t="n">
        <f aca="false">D120/Tham_so!$B$4*INDEX(Tham_so!$C$23:$C$27,MATCH(C120,Tham_so!$A$23:$A$27,0))</f>
        <v>9625000</v>
      </c>
    </row>
    <row r="121" customFormat="false" ht="15" hidden="false" customHeight="false" outlineLevel="0" collapsed="false">
      <c r="A121" s="14" t="s">
        <v>337</v>
      </c>
      <c r="B121" s="14" t="s">
        <v>338</v>
      </c>
      <c r="C121" s="14" t="s">
        <v>64</v>
      </c>
      <c r="D121" s="15" t="n">
        <v>2</v>
      </c>
      <c r="E121" s="14" t="s">
        <v>336</v>
      </c>
      <c r="F121" s="6" t="n">
        <f aca="false">D121/Tham_so!$B$4*INDEX(Tham_so!$C$23:$C$27,MATCH(C121,Tham_so!$A$23:$A$27,0))</f>
        <v>5500000</v>
      </c>
    </row>
    <row r="122" customFormat="false" ht="15" hidden="false" customHeight="false" outlineLevel="0" collapsed="false">
      <c r="A122" s="14" t="s">
        <v>339</v>
      </c>
      <c r="B122" s="14" t="s">
        <v>340</v>
      </c>
      <c r="C122" s="14" t="s">
        <v>64</v>
      </c>
      <c r="D122" s="15" t="n">
        <v>3.5</v>
      </c>
      <c r="E122" s="14" t="s">
        <v>336</v>
      </c>
      <c r="F122" s="6" t="n">
        <f aca="false">D122/Tham_so!$B$4*INDEX(Tham_so!$C$23:$C$27,MATCH(C122,Tham_so!$A$23:$A$27,0))</f>
        <v>9625000</v>
      </c>
    </row>
    <row r="123" customFormat="false" ht="15" hidden="false" customHeight="false" outlineLevel="0" collapsed="false">
      <c r="A123" s="14" t="s">
        <v>341</v>
      </c>
      <c r="B123" s="14" t="s">
        <v>342</v>
      </c>
      <c r="C123" s="14" t="s">
        <v>66</v>
      </c>
      <c r="D123" s="15" t="n">
        <v>4</v>
      </c>
      <c r="E123" s="14" t="s">
        <v>336</v>
      </c>
      <c r="F123" s="6" t="n">
        <f aca="false">D123/Tham_so!$B$4*INDEX(Tham_so!$C$23:$C$27,MATCH(C123,Tham_so!$A$23:$A$27,0))</f>
        <v>8600000</v>
      </c>
    </row>
    <row r="124" customFormat="false" ht="15" hidden="false" customHeight="false" outlineLevel="0" collapsed="false">
      <c r="A124" s="14" t="s">
        <v>343</v>
      </c>
      <c r="B124" s="14" t="s">
        <v>344</v>
      </c>
      <c r="C124" s="14" t="s">
        <v>70</v>
      </c>
      <c r="D124" s="15" t="n">
        <v>5</v>
      </c>
      <c r="E124" s="14" t="s">
        <v>336</v>
      </c>
      <c r="F124" s="6" t="n">
        <f aca="false">D124/Tham_so!$B$4*INDEX(Tham_so!$C$23:$C$27,MATCH(C124,Tham_so!$A$23:$A$27,0))</f>
        <v>10500000</v>
      </c>
    </row>
    <row r="125" customFormat="false" ht="15" hidden="false" customHeight="false" outlineLevel="0" collapsed="false">
      <c r="A125" s="14" t="s">
        <v>345</v>
      </c>
      <c r="B125" s="14" t="s">
        <v>346</v>
      </c>
      <c r="C125" s="14" t="s">
        <v>70</v>
      </c>
      <c r="D125" s="15" t="n">
        <v>5</v>
      </c>
      <c r="E125" s="14" t="s">
        <v>336</v>
      </c>
      <c r="F125" s="6" t="n">
        <f aca="false">D125/Tham_so!$B$4*INDEX(Tham_so!$C$23:$C$27,MATCH(C125,Tham_so!$A$23:$A$27,0))</f>
        <v>10500000</v>
      </c>
    </row>
    <row r="126" customFormat="false" ht="15" hidden="false" customHeight="false" outlineLevel="0" collapsed="false">
      <c r="A126" s="14" t="s">
        <v>347</v>
      </c>
      <c r="B126" s="14" t="s">
        <v>348</v>
      </c>
      <c r="C126" s="14" t="s">
        <v>72</v>
      </c>
      <c r="D126" s="15" t="n">
        <v>3</v>
      </c>
      <c r="E126" s="14" t="s">
        <v>336</v>
      </c>
      <c r="F126" s="6" t="n">
        <f aca="false">D126/Tham_so!$B$4*INDEX(Tham_so!$C$23:$C$27,MATCH(C126,Tham_so!$A$23:$A$27,0))</f>
        <v>7800000</v>
      </c>
    </row>
    <row r="127" customFormat="false" ht="15" hidden="false" customHeight="false" outlineLevel="0" collapsed="false">
      <c r="A127" s="14" t="s">
        <v>349</v>
      </c>
      <c r="B127" s="14" t="s">
        <v>350</v>
      </c>
      <c r="C127" s="14" t="s">
        <v>66</v>
      </c>
      <c r="D127" s="15" t="n">
        <v>4</v>
      </c>
      <c r="E127" s="14" t="s">
        <v>336</v>
      </c>
      <c r="F127" s="6" t="n">
        <f aca="false">D127/Tham_so!$B$4*INDEX(Tham_so!$C$23:$C$27,MATCH(C127,Tham_so!$A$23:$A$27,0))</f>
        <v>8600000</v>
      </c>
    </row>
    <row r="128" customFormat="false" ht="15" hidden="false" customHeight="false" outlineLevel="0" collapsed="false">
      <c r="A128" s="14" t="s">
        <v>351</v>
      </c>
      <c r="B128" s="14" t="s">
        <v>352</v>
      </c>
      <c r="C128" s="14" t="s">
        <v>66</v>
      </c>
      <c r="D128" s="15" t="n">
        <v>2</v>
      </c>
      <c r="E128" s="14" t="s">
        <v>336</v>
      </c>
      <c r="F128" s="6" t="n">
        <f aca="false">D128/Tham_so!$B$4*INDEX(Tham_so!$C$23:$C$27,MATCH(C128,Tham_so!$A$23:$A$27,0))</f>
        <v>4300000</v>
      </c>
    </row>
    <row r="129" customFormat="false" ht="15" hidden="false" customHeight="false" outlineLevel="0" collapsed="false">
      <c r="A129" s="14" t="s">
        <v>353</v>
      </c>
      <c r="B129" s="14" t="s">
        <v>354</v>
      </c>
      <c r="C129" s="14" t="s">
        <v>70</v>
      </c>
      <c r="D129" s="15" t="n">
        <v>4</v>
      </c>
      <c r="E129" s="14" t="s">
        <v>336</v>
      </c>
      <c r="F129" s="6" t="n">
        <f aca="false">D129/Tham_so!$B$4*INDEX(Tham_so!$C$23:$C$27,MATCH(C129,Tham_so!$A$23:$A$27,0))</f>
        <v>8400000</v>
      </c>
    </row>
    <row r="130" customFormat="false" ht="15" hidden="false" customHeight="false" outlineLevel="0" collapsed="false">
      <c r="A130" s="14" t="s">
        <v>355</v>
      </c>
      <c r="B130" s="14" t="s">
        <v>356</v>
      </c>
      <c r="C130" s="14" t="s">
        <v>70</v>
      </c>
      <c r="D130" s="15" t="n">
        <v>8</v>
      </c>
      <c r="E130" s="14" t="s">
        <v>336</v>
      </c>
      <c r="F130" s="6" t="n">
        <f aca="false">D130/Tham_so!$B$4*INDEX(Tham_so!$C$23:$C$27,MATCH(C130,Tham_so!$A$23:$A$27,0))</f>
        <v>16800000</v>
      </c>
    </row>
    <row r="131" customFormat="false" ht="15" hidden="false" customHeight="false" outlineLevel="0" collapsed="false">
      <c r="A131" s="14" t="s">
        <v>357</v>
      </c>
      <c r="B131" s="14" t="s">
        <v>358</v>
      </c>
      <c r="C131" s="14" t="s">
        <v>70</v>
      </c>
      <c r="D131" s="15" t="n">
        <v>6</v>
      </c>
      <c r="E131" s="14" t="s">
        <v>336</v>
      </c>
      <c r="F131" s="6" t="n">
        <f aca="false">D131/Tham_so!$B$4*INDEX(Tham_so!$C$23:$C$27,MATCH(C131,Tham_so!$A$23:$A$27,0))</f>
        <v>12600000</v>
      </c>
    </row>
    <row r="132" customFormat="false" ht="15" hidden="false" customHeight="false" outlineLevel="0" collapsed="false">
      <c r="A132" s="14" t="s">
        <v>359</v>
      </c>
      <c r="B132" s="14" t="s">
        <v>360</v>
      </c>
      <c r="C132" s="14" t="s">
        <v>70</v>
      </c>
      <c r="D132" s="15" t="n">
        <v>5</v>
      </c>
      <c r="E132" s="14" t="s">
        <v>336</v>
      </c>
      <c r="F132" s="6" t="n">
        <f aca="false">D132/Tham_so!$B$4*INDEX(Tham_so!$C$23:$C$27,MATCH(C132,Tham_so!$A$23:$A$27,0))</f>
        <v>10500000</v>
      </c>
    </row>
    <row r="133" customFormat="false" ht="15" hidden="false" customHeight="false" outlineLevel="0" collapsed="false">
      <c r="A133" s="14" t="s">
        <v>361</v>
      </c>
      <c r="B133" s="14" t="s">
        <v>362</v>
      </c>
      <c r="C133" s="14" t="s">
        <v>70</v>
      </c>
      <c r="D133" s="15" t="n">
        <v>3</v>
      </c>
      <c r="E133" s="14" t="s">
        <v>336</v>
      </c>
      <c r="F133" s="6" t="n">
        <f aca="false">D133/Tham_so!$B$4*INDEX(Tham_so!$C$23:$C$27,MATCH(C133,Tham_so!$A$23:$A$27,0))</f>
        <v>6300000</v>
      </c>
    </row>
    <row r="134" customFormat="false" ht="15" hidden="false" customHeight="false" outlineLevel="0" collapsed="false">
      <c r="A134" s="14" t="s">
        <v>363</v>
      </c>
      <c r="B134" s="14" t="s">
        <v>364</v>
      </c>
      <c r="C134" s="14" t="s">
        <v>70</v>
      </c>
      <c r="D134" s="15" t="n">
        <v>5</v>
      </c>
      <c r="E134" s="14" t="s">
        <v>336</v>
      </c>
      <c r="F134" s="6" t="n">
        <f aca="false">D134/Tham_so!$B$4*INDEX(Tham_so!$C$23:$C$27,MATCH(C134,Tham_so!$A$23:$A$27,0))</f>
        <v>10500000</v>
      </c>
    </row>
    <row r="135" customFormat="false" ht="15" hidden="false" customHeight="false" outlineLevel="0" collapsed="false">
      <c r="A135" s="14" t="s">
        <v>365</v>
      </c>
      <c r="B135" s="14" t="s">
        <v>366</v>
      </c>
      <c r="C135" s="14" t="s">
        <v>70</v>
      </c>
      <c r="D135" s="15" t="n">
        <v>5</v>
      </c>
      <c r="E135" s="14" t="s">
        <v>336</v>
      </c>
      <c r="F135" s="6" t="n">
        <f aca="false">D135/Tham_so!$B$4*INDEX(Tham_so!$C$23:$C$27,MATCH(C135,Tham_so!$A$23:$A$27,0))</f>
        <v>10500000</v>
      </c>
    </row>
    <row r="136" customFormat="false" ht="15" hidden="false" customHeight="false" outlineLevel="0" collapsed="false">
      <c r="A136" s="14" t="s">
        <v>367</v>
      </c>
      <c r="B136" s="14" t="s">
        <v>368</v>
      </c>
      <c r="C136" s="14" t="s">
        <v>70</v>
      </c>
      <c r="D136" s="15" t="n">
        <v>5</v>
      </c>
      <c r="E136" s="14" t="s">
        <v>336</v>
      </c>
      <c r="F136" s="6" t="n">
        <f aca="false">D136/Tham_so!$B$4*INDEX(Tham_so!$C$23:$C$27,MATCH(C136,Tham_so!$A$23:$A$27,0))</f>
        <v>10500000</v>
      </c>
    </row>
    <row r="137" customFormat="false" ht="15" hidden="false" customHeight="false" outlineLevel="0" collapsed="false">
      <c r="A137" s="14" t="s">
        <v>369</v>
      </c>
      <c r="B137" s="14" t="s">
        <v>370</v>
      </c>
      <c r="C137" s="14" t="s">
        <v>70</v>
      </c>
      <c r="D137" s="15" t="n">
        <v>5</v>
      </c>
      <c r="E137" s="14" t="s">
        <v>336</v>
      </c>
      <c r="F137" s="6" t="n">
        <f aca="false">D137/Tham_so!$B$4*INDEX(Tham_so!$C$23:$C$27,MATCH(C137,Tham_so!$A$23:$A$27,0))</f>
        <v>10500000</v>
      </c>
    </row>
    <row r="138" customFormat="false" ht="15" hidden="false" customHeight="false" outlineLevel="0" collapsed="false">
      <c r="A138" s="14" t="s">
        <v>371</v>
      </c>
      <c r="B138" s="14" t="s">
        <v>372</v>
      </c>
      <c r="C138" s="14" t="s">
        <v>70</v>
      </c>
      <c r="D138" s="15" t="n">
        <v>4</v>
      </c>
      <c r="E138" s="14" t="s">
        <v>336</v>
      </c>
      <c r="F138" s="6" t="n">
        <f aca="false">D138/Tham_so!$B$4*INDEX(Tham_so!$C$23:$C$27,MATCH(C138,Tham_so!$A$23:$A$27,0))</f>
        <v>8400000</v>
      </c>
    </row>
    <row r="139" customFormat="false" ht="15" hidden="false" customHeight="false" outlineLevel="0" collapsed="false">
      <c r="A139" s="14" t="s">
        <v>373</v>
      </c>
      <c r="B139" s="14" t="s">
        <v>374</v>
      </c>
      <c r="C139" s="14" t="s">
        <v>70</v>
      </c>
      <c r="D139" s="15" t="n">
        <v>5</v>
      </c>
      <c r="E139" s="14" t="s">
        <v>336</v>
      </c>
      <c r="F139" s="6" t="n">
        <f aca="false">D139/Tham_so!$B$4*INDEX(Tham_so!$C$23:$C$27,MATCH(C139,Tham_so!$A$23:$A$27,0))</f>
        <v>10500000</v>
      </c>
    </row>
    <row r="140" customFormat="false" ht="15" hidden="false" customHeight="false" outlineLevel="0" collapsed="false">
      <c r="A140" s="14" t="s">
        <v>375</v>
      </c>
      <c r="B140" s="14" t="s">
        <v>376</v>
      </c>
      <c r="C140" s="14" t="s">
        <v>68</v>
      </c>
      <c r="D140" s="15" t="n">
        <v>4</v>
      </c>
      <c r="E140" s="14" t="s">
        <v>336</v>
      </c>
      <c r="F140" s="6" t="n">
        <f aca="false">D140/Tham_so!$B$4*INDEX(Tham_so!$C$23:$C$27,MATCH(C140,Tham_so!$A$23:$A$27,0))</f>
        <v>8000000</v>
      </c>
    </row>
    <row r="141" customFormat="false" ht="15" hidden="false" customHeight="false" outlineLevel="0" collapsed="false">
      <c r="A141" s="14" t="s">
        <v>377</v>
      </c>
      <c r="B141" s="14" t="s">
        <v>378</v>
      </c>
      <c r="C141" s="14" t="s">
        <v>68</v>
      </c>
      <c r="D141" s="15" t="n">
        <v>3</v>
      </c>
      <c r="E141" s="14" t="s">
        <v>336</v>
      </c>
      <c r="F141" s="6" t="n">
        <f aca="false">D141/Tham_so!$B$4*INDEX(Tham_so!$C$23:$C$27,MATCH(C141,Tham_so!$A$23:$A$27,0))</f>
        <v>6000000</v>
      </c>
    </row>
    <row r="142" customFormat="false" ht="15" hidden="false" customHeight="false" outlineLevel="0" collapsed="false">
      <c r="A142" s="14" t="s">
        <v>379</v>
      </c>
      <c r="B142" s="14" t="s">
        <v>380</v>
      </c>
      <c r="C142" s="14" t="s">
        <v>68</v>
      </c>
      <c r="D142" s="15" t="n">
        <v>7</v>
      </c>
      <c r="E142" s="14" t="s">
        <v>336</v>
      </c>
      <c r="F142" s="6" t="n">
        <f aca="false">D142/Tham_so!$B$4*INDEX(Tham_so!$C$23:$C$27,MATCH(C142,Tham_so!$A$23:$A$27,0))</f>
        <v>14000000</v>
      </c>
    </row>
    <row r="143" customFormat="false" ht="15" hidden="false" customHeight="false" outlineLevel="0" collapsed="false">
      <c r="A143" s="14" t="s">
        <v>381</v>
      </c>
      <c r="B143" s="14" t="s">
        <v>382</v>
      </c>
      <c r="C143" s="14" t="s">
        <v>70</v>
      </c>
      <c r="D143" s="15" t="n">
        <v>5</v>
      </c>
      <c r="E143" s="14" t="s">
        <v>336</v>
      </c>
      <c r="F143" s="6" t="n">
        <f aca="false">D143/Tham_so!$B$4*INDEX(Tham_so!$C$23:$C$27,MATCH(C143,Tham_so!$A$23:$A$27,0))</f>
        <v>10500000</v>
      </c>
    </row>
    <row r="144" customFormat="false" ht="15" hidden="false" customHeight="false" outlineLevel="0" collapsed="false">
      <c r="A144" s="14" t="s">
        <v>383</v>
      </c>
      <c r="B144" s="14" t="s">
        <v>384</v>
      </c>
      <c r="C144" s="14" t="s">
        <v>70</v>
      </c>
      <c r="D144" s="15" t="n">
        <v>6</v>
      </c>
      <c r="E144" s="14" t="s">
        <v>336</v>
      </c>
      <c r="F144" s="6" t="n">
        <f aca="false">D144/Tham_so!$B$4*INDEX(Tham_so!$C$23:$C$27,MATCH(C144,Tham_so!$A$23:$A$27,0))</f>
        <v>12600000</v>
      </c>
    </row>
    <row r="145" customFormat="false" ht="15" hidden="false" customHeight="false" outlineLevel="0" collapsed="false">
      <c r="A145" s="14" t="s">
        <v>385</v>
      </c>
      <c r="B145" s="14" t="s">
        <v>386</v>
      </c>
      <c r="C145" s="14" t="s">
        <v>66</v>
      </c>
      <c r="D145" s="15" t="n">
        <v>3</v>
      </c>
      <c r="E145" s="14" t="s">
        <v>336</v>
      </c>
      <c r="F145" s="6" t="n">
        <f aca="false">D145/Tham_so!$B$4*INDEX(Tham_so!$C$23:$C$27,MATCH(C145,Tham_so!$A$23:$A$27,0))</f>
        <v>6450000</v>
      </c>
    </row>
    <row r="146" customFormat="false" ht="15" hidden="false" customHeight="false" outlineLevel="0" collapsed="false">
      <c r="A146" s="14" t="s">
        <v>387</v>
      </c>
      <c r="B146" s="14" t="s">
        <v>388</v>
      </c>
      <c r="C146" s="14" t="s">
        <v>68</v>
      </c>
      <c r="D146" s="15" t="n">
        <v>4</v>
      </c>
      <c r="E146" s="14" t="s">
        <v>336</v>
      </c>
      <c r="F146" s="6" t="n">
        <f aca="false">D146/Tham_so!$B$4*INDEX(Tham_so!$C$23:$C$27,MATCH(C146,Tham_so!$A$23:$A$27,0))</f>
        <v>8000000</v>
      </c>
    </row>
    <row r="147" customFormat="false" ht="15" hidden="false" customHeight="false" outlineLevel="0" collapsed="false">
      <c r="A147" s="14" t="s">
        <v>389</v>
      </c>
      <c r="B147" s="14" t="s">
        <v>390</v>
      </c>
      <c r="C147" s="14" t="s">
        <v>72</v>
      </c>
      <c r="D147" s="15" t="n">
        <v>3</v>
      </c>
      <c r="E147" s="14" t="s">
        <v>336</v>
      </c>
      <c r="F147" s="6" t="n">
        <f aca="false">D147/Tham_so!$B$4*INDEX(Tham_so!$C$23:$C$27,MATCH(C147,Tham_so!$A$23:$A$27,0))</f>
        <v>7800000</v>
      </c>
    </row>
    <row r="148" customFormat="false" ht="15" hidden="false" customHeight="false" outlineLevel="0" collapsed="false">
      <c r="A148" s="14" t="s">
        <v>391</v>
      </c>
      <c r="B148" s="14" t="s">
        <v>392</v>
      </c>
      <c r="C148" s="14" t="s">
        <v>70</v>
      </c>
      <c r="D148" s="15" t="n">
        <v>5</v>
      </c>
      <c r="E148" s="14" t="s">
        <v>336</v>
      </c>
      <c r="F148" s="6" t="n">
        <f aca="false">D148/Tham_so!$B$4*INDEX(Tham_so!$C$23:$C$27,MATCH(C148,Tham_so!$A$23:$A$27,0))</f>
        <v>10500000</v>
      </c>
    </row>
    <row r="149" customFormat="false" ht="15" hidden="false" customHeight="false" outlineLevel="0" collapsed="false">
      <c r="A149" s="14" t="s">
        <v>393</v>
      </c>
      <c r="B149" s="14" t="s">
        <v>394</v>
      </c>
      <c r="C149" s="14" t="s">
        <v>72</v>
      </c>
      <c r="D149" s="15" t="n">
        <v>7</v>
      </c>
      <c r="E149" s="14" t="s">
        <v>336</v>
      </c>
      <c r="F149" s="6" t="n">
        <f aca="false">D149/Tham_so!$B$4*INDEX(Tham_so!$C$23:$C$27,MATCH(C149,Tham_so!$A$23:$A$27,0))</f>
        <v>18200000</v>
      </c>
    </row>
    <row r="150" customFormat="false" ht="15" hidden="false" customHeight="false" outlineLevel="0" collapsed="false">
      <c r="A150" s="14" t="s">
        <v>395</v>
      </c>
      <c r="B150" s="14" t="s">
        <v>396</v>
      </c>
      <c r="C150" s="14" t="s">
        <v>72</v>
      </c>
      <c r="D150" s="15" t="n">
        <v>4</v>
      </c>
      <c r="E150" s="14" t="s">
        <v>336</v>
      </c>
      <c r="F150" s="6" t="n">
        <f aca="false">D150/Tham_so!$B$4*INDEX(Tham_so!$C$23:$C$27,MATCH(C150,Tham_so!$A$23:$A$27,0))</f>
        <v>10400000</v>
      </c>
    </row>
    <row r="151" customFormat="false" ht="15" hidden="false" customHeight="false" outlineLevel="0" collapsed="false">
      <c r="A151" s="14" t="s">
        <v>397</v>
      </c>
      <c r="B151" s="14" t="s">
        <v>398</v>
      </c>
      <c r="C151" s="14" t="s">
        <v>70</v>
      </c>
      <c r="D151" s="15" t="n">
        <v>4</v>
      </c>
      <c r="E151" s="14" t="s">
        <v>336</v>
      </c>
      <c r="F151" s="6" t="n">
        <f aca="false">D151/Tham_so!$B$4*INDEX(Tham_so!$C$23:$C$27,MATCH(C151,Tham_so!$A$23:$A$27,0))</f>
        <v>8400000</v>
      </c>
    </row>
    <row r="152" customFormat="false" ht="15" hidden="false" customHeight="false" outlineLevel="0" collapsed="false">
      <c r="A152" s="14" t="s">
        <v>399</v>
      </c>
      <c r="B152" s="14" t="s">
        <v>400</v>
      </c>
      <c r="C152" s="14" t="s">
        <v>70</v>
      </c>
      <c r="D152" s="15" t="n">
        <v>4</v>
      </c>
      <c r="E152" s="14" t="s">
        <v>336</v>
      </c>
      <c r="F152" s="6" t="n">
        <f aca="false">D152/Tham_so!$B$4*INDEX(Tham_so!$C$23:$C$27,MATCH(C152,Tham_so!$A$23:$A$27,0))</f>
        <v>8400000</v>
      </c>
    </row>
    <row r="153" customFormat="false" ht="15" hidden="false" customHeight="false" outlineLevel="0" collapsed="false">
      <c r="A153" s="14" t="s">
        <v>401</v>
      </c>
      <c r="B153" s="14" t="s">
        <v>402</v>
      </c>
      <c r="C153" s="14" t="s">
        <v>70</v>
      </c>
      <c r="D153" s="15" t="n">
        <v>2</v>
      </c>
      <c r="E153" s="14" t="s">
        <v>336</v>
      </c>
      <c r="F153" s="6" t="n">
        <f aca="false">D153/Tham_so!$B$4*INDEX(Tham_so!$C$23:$C$27,MATCH(C153,Tham_so!$A$23:$A$27,0))</f>
        <v>4200000</v>
      </c>
    </row>
    <row r="154" customFormat="false" ht="15" hidden="false" customHeight="false" outlineLevel="0" collapsed="false">
      <c r="A154" s="14" t="s">
        <v>403</v>
      </c>
      <c r="B154" s="14" t="s">
        <v>404</v>
      </c>
      <c r="C154" s="14" t="s">
        <v>72</v>
      </c>
      <c r="D154" s="15" t="n">
        <v>4</v>
      </c>
      <c r="E154" s="14" t="s">
        <v>336</v>
      </c>
      <c r="F154" s="6" t="n">
        <f aca="false">D154/Tham_so!$B$4*INDEX(Tham_so!$C$23:$C$27,MATCH(C154,Tham_so!$A$23:$A$27,0))</f>
        <v>10400000</v>
      </c>
    </row>
    <row r="155" customFormat="false" ht="15" hidden="false" customHeight="false" outlineLevel="0" collapsed="false">
      <c r="A155" s="14" t="s">
        <v>405</v>
      </c>
      <c r="B155" s="14" t="s">
        <v>406</v>
      </c>
      <c r="C155" s="14" t="s">
        <v>64</v>
      </c>
      <c r="D155" s="15" t="n">
        <v>3</v>
      </c>
      <c r="E155" s="14" t="s">
        <v>407</v>
      </c>
      <c r="F155" s="6" t="n">
        <f aca="false">D155/Tham_so!$B$4*INDEX(Tham_so!$C$23:$C$27,MATCH(C155,Tham_so!$A$23:$A$27,0))</f>
        <v>8250000</v>
      </c>
    </row>
    <row r="156" customFormat="false" ht="15" hidden="false" customHeight="false" outlineLevel="0" collapsed="false">
      <c r="A156" s="14" t="s">
        <v>408</v>
      </c>
      <c r="B156" s="14" t="s">
        <v>409</v>
      </c>
      <c r="C156" s="14" t="s">
        <v>66</v>
      </c>
      <c r="D156" s="15" t="n">
        <v>3</v>
      </c>
      <c r="E156" s="14" t="s">
        <v>407</v>
      </c>
      <c r="F156" s="6" t="n">
        <f aca="false">D156/Tham_so!$B$4*INDEX(Tham_so!$C$23:$C$27,MATCH(C156,Tham_so!$A$23:$A$27,0))</f>
        <v>6450000</v>
      </c>
    </row>
    <row r="157" customFormat="false" ht="15" hidden="false" customHeight="false" outlineLevel="0" collapsed="false">
      <c r="A157" s="14" t="s">
        <v>410</v>
      </c>
      <c r="B157" s="14" t="s">
        <v>411</v>
      </c>
      <c r="C157" s="14" t="s">
        <v>66</v>
      </c>
      <c r="D157" s="15" t="n">
        <v>5</v>
      </c>
      <c r="E157" s="14" t="s">
        <v>407</v>
      </c>
      <c r="F157" s="6" t="n">
        <f aca="false">D157/Tham_so!$B$4*INDEX(Tham_so!$C$23:$C$27,MATCH(C157,Tham_so!$A$23:$A$27,0))</f>
        <v>10750000</v>
      </c>
    </row>
    <row r="158" customFormat="false" ht="15" hidden="false" customHeight="false" outlineLevel="0" collapsed="false">
      <c r="A158" s="14" t="s">
        <v>412</v>
      </c>
      <c r="B158" s="14" t="s">
        <v>413</v>
      </c>
      <c r="C158" s="14" t="s">
        <v>70</v>
      </c>
      <c r="D158" s="15" t="n">
        <v>4</v>
      </c>
      <c r="E158" s="14" t="s">
        <v>407</v>
      </c>
      <c r="F158" s="6" t="n">
        <f aca="false">D158/Tham_so!$B$4*INDEX(Tham_so!$C$23:$C$27,MATCH(C158,Tham_so!$A$23:$A$27,0))</f>
        <v>8400000</v>
      </c>
    </row>
    <row r="159" customFormat="false" ht="15" hidden="false" customHeight="false" outlineLevel="0" collapsed="false">
      <c r="A159" s="14" t="s">
        <v>414</v>
      </c>
      <c r="B159" s="14" t="s">
        <v>415</v>
      </c>
      <c r="C159" s="14" t="s">
        <v>66</v>
      </c>
      <c r="D159" s="15" t="n">
        <v>2</v>
      </c>
      <c r="E159" s="14" t="s">
        <v>407</v>
      </c>
      <c r="F159" s="6" t="n">
        <f aca="false">D159/Tham_so!$B$4*INDEX(Tham_so!$C$23:$C$27,MATCH(C159,Tham_so!$A$23:$A$27,0))</f>
        <v>4300000</v>
      </c>
    </row>
    <row r="160" customFormat="false" ht="15" hidden="false" customHeight="false" outlineLevel="0" collapsed="false">
      <c r="A160" s="14" t="s">
        <v>416</v>
      </c>
      <c r="B160" s="14" t="s">
        <v>417</v>
      </c>
      <c r="C160" s="14" t="s">
        <v>70</v>
      </c>
      <c r="D160" s="15" t="n">
        <v>4</v>
      </c>
      <c r="E160" s="14" t="s">
        <v>407</v>
      </c>
      <c r="F160" s="6" t="n">
        <f aca="false">D160/Tham_so!$B$4*INDEX(Tham_so!$C$23:$C$27,MATCH(C160,Tham_so!$A$23:$A$27,0))</f>
        <v>8400000</v>
      </c>
    </row>
    <row r="161" customFormat="false" ht="15" hidden="false" customHeight="false" outlineLevel="0" collapsed="false">
      <c r="A161" s="14" t="s">
        <v>418</v>
      </c>
      <c r="B161" s="14" t="s">
        <v>419</v>
      </c>
      <c r="C161" s="14" t="s">
        <v>70</v>
      </c>
      <c r="D161" s="15" t="n">
        <v>5</v>
      </c>
      <c r="E161" s="14" t="s">
        <v>407</v>
      </c>
      <c r="F161" s="6" t="n">
        <f aca="false">D161/Tham_so!$B$4*INDEX(Tham_so!$C$23:$C$27,MATCH(C161,Tham_so!$A$23:$A$27,0))</f>
        <v>10500000</v>
      </c>
    </row>
    <row r="162" customFormat="false" ht="15" hidden="false" customHeight="false" outlineLevel="0" collapsed="false">
      <c r="A162" s="14" t="s">
        <v>420</v>
      </c>
      <c r="B162" s="14" t="s">
        <v>421</v>
      </c>
      <c r="C162" s="14" t="s">
        <v>70</v>
      </c>
      <c r="D162" s="15" t="n">
        <v>4</v>
      </c>
      <c r="E162" s="14" t="s">
        <v>407</v>
      </c>
      <c r="F162" s="6" t="n">
        <f aca="false">D162/Tham_so!$B$4*INDEX(Tham_so!$C$23:$C$27,MATCH(C162,Tham_so!$A$23:$A$27,0))</f>
        <v>8400000</v>
      </c>
    </row>
    <row r="163" customFormat="false" ht="15" hidden="false" customHeight="false" outlineLevel="0" collapsed="false">
      <c r="A163" s="14" t="s">
        <v>422</v>
      </c>
      <c r="B163" s="14" t="s">
        <v>423</v>
      </c>
      <c r="C163" s="14" t="s">
        <v>70</v>
      </c>
      <c r="D163" s="15" t="n">
        <v>6</v>
      </c>
      <c r="E163" s="14" t="s">
        <v>407</v>
      </c>
      <c r="F163" s="6" t="n">
        <f aca="false">D163/Tham_so!$B$4*INDEX(Tham_so!$C$23:$C$27,MATCH(C163,Tham_so!$A$23:$A$27,0))</f>
        <v>12600000</v>
      </c>
    </row>
    <row r="164" customFormat="false" ht="15" hidden="false" customHeight="false" outlineLevel="0" collapsed="false">
      <c r="A164" s="14" t="s">
        <v>424</v>
      </c>
      <c r="B164" s="14" t="s">
        <v>425</v>
      </c>
      <c r="C164" s="14" t="s">
        <v>70</v>
      </c>
      <c r="D164" s="15" t="n">
        <v>4</v>
      </c>
      <c r="E164" s="14" t="s">
        <v>407</v>
      </c>
      <c r="F164" s="6" t="n">
        <f aca="false">D164/Tham_so!$B$4*INDEX(Tham_so!$C$23:$C$27,MATCH(C164,Tham_so!$A$23:$A$27,0))</f>
        <v>8400000</v>
      </c>
    </row>
    <row r="165" customFormat="false" ht="15" hidden="false" customHeight="false" outlineLevel="0" collapsed="false">
      <c r="A165" s="14" t="s">
        <v>426</v>
      </c>
      <c r="B165" s="14" t="s">
        <v>427</v>
      </c>
      <c r="C165" s="14" t="s">
        <v>70</v>
      </c>
      <c r="D165" s="15" t="n">
        <v>5</v>
      </c>
      <c r="E165" s="14" t="s">
        <v>407</v>
      </c>
      <c r="F165" s="6" t="n">
        <f aca="false">D165/Tham_so!$B$4*INDEX(Tham_so!$C$23:$C$27,MATCH(C165,Tham_so!$A$23:$A$27,0))</f>
        <v>10500000</v>
      </c>
    </row>
    <row r="166" customFormat="false" ht="15" hidden="false" customHeight="false" outlineLevel="0" collapsed="false">
      <c r="A166" s="14" t="s">
        <v>428</v>
      </c>
      <c r="B166" s="14" t="s">
        <v>429</v>
      </c>
      <c r="C166" s="14" t="s">
        <v>70</v>
      </c>
      <c r="D166" s="15" t="n">
        <v>5</v>
      </c>
      <c r="E166" s="14" t="s">
        <v>407</v>
      </c>
      <c r="F166" s="6" t="n">
        <f aca="false">D166/Tham_so!$B$4*INDEX(Tham_so!$C$23:$C$27,MATCH(C166,Tham_so!$A$23:$A$27,0))</f>
        <v>10500000</v>
      </c>
    </row>
    <row r="167" customFormat="false" ht="15" hidden="false" customHeight="false" outlineLevel="0" collapsed="false">
      <c r="A167" s="14" t="s">
        <v>430</v>
      </c>
      <c r="B167" s="14" t="s">
        <v>431</v>
      </c>
      <c r="C167" s="14" t="s">
        <v>68</v>
      </c>
      <c r="D167" s="15" t="n">
        <v>3</v>
      </c>
      <c r="E167" s="14" t="s">
        <v>407</v>
      </c>
      <c r="F167" s="6" t="n">
        <f aca="false">D167/Tham_so!$B$4*INDEX(Tham_so!$C$23:$C$27,MATCH(C167,Tham_so!$A$23:$A$27,0))</f>
        <v>6000000</v>
      </c>
    </row>
    <row r="168" customFormat="false" ht="15" hidden="false" customHeight="false" outlineLevel="0" collapsed="false">
      <c r="A168" s="14" t="s">
        <v>432</v>
      </c>
      <c r="B168" s="14" t="s">
        <v>433</v>
      </c>
      <c r="C168" s="14" t="s">
        <v>68</v>
      </c>
      <c r="D168" s="15" t="n">
        <v>6</v>
      </c>
      <c r="E168" s="14" t="s">
        <v>407</v>
      </c>
      <c r="F168" s="6" t="n">
        <f aca="false">D168/Tham_so!$B$4*INDEX(Tham_so!$C$23:$C$27,MATCH(C168,Tham_so!$A$23:$A$27,0))</f>
        <v>12000000</v>
      </c>
    </row>
    <row r="169" customFormat="false" ht="15" hidden="false" customHeight="false" outlineLevel="0" collapsed="false">
      <c r="A169" s="14" t="s">
        <v>434</v>
      </c>
      <c r="B169" s="14" t="s">
        <v>435</v>
      </c>
      <c r="C169" s="14" t="s">
        <v>68</v>
      </c>
      <c r="D169" s="15" t="n">
        <v>4</v>
      </c>
      <c r="E169" s="14" t="s">
        <v>407</v>
      </c>
      <c r="F169" s="6" t="n">
        <f aca="false">D169/Tham_so!$B$4*INDEX(Tham_so!$C$23:$C$27,MATCH(C169,Tham_so!$A$23:$A$27,0))</f>
        <v>8000000</v>
      </c>
    </row>
    <row r="170" customFormat="false" ht="15" hidden="false" customHeight="false" outlineLevel="0" collapsed="false">
      <c r="A170" s="14" t="s">
        <v>436</v>
      </c>
      <c r="B170" s="14" t="s">
        <v>437</v>
      </c>
      <c r="C170" s="14" t="s">
        <v>70</v>
      </c>
      <c r="D170" s="15" t="n">
        <v>3</v>
      </c>
      <c r="E170" s="14" t="s">
        <v>407</v>
      </c>
      <c r="F170" s="6" t="n">
        <f aca="false">D170/Tham_so!$B$4*INDEX(Tham_so!$C$23:$C$27,MATCH(C170,Tham_so!$A$23:$A$27,0))</f>
        <v>6300000</v>
      </c>
    </row>
    <row r="171" customFormat="false" ht="15" hidden="false" customHeight="false" outlineLevel="0" collapsed="false">
      <c r="A171" s="14" t="s">
        <v>438</v>
      </c>
      <c r="B171" s="14" t="s">
        <v>439</v>
      </c>
      <c r="C171" s="14" t="s">
        <v>68</v>
      </c>
      <c r="D171" s="15" t="n">
        <v>3</v>
      </c>
      <c r="E171" s="14" t="s">
        <v>407</v>
      </c>
      <c r="F171" s="6" t="n">
        <f aca="false">D171/Tham_so!$B$4*INDEX(Tham_so!$C$23:$C$27,MATCH(C171,Tham_so!$A$23:$A$27,0))</f>
        <v>6000000</v>
      </c>
    </row>
    <row r="172" customFormat="false" ht="15" hidden="false" customHeight="false" outlineLevel="0" collapsed="false">
      <c r="A172" s="14" t="s">
        <v>440</v>
      </c>
      <c r="B172" s="14" t="s">
        <v>441</v>
      </c>
      <c r="C172" s="14" t="s">
        <v>72</v>
      </c>
      <c r="D172" s="15" t="n">
        <v>2</v>
      </c>
      <c r="E172" s="14" t="s">
        <v>407</v>
      </c>
      <c r="F172" s="6" t="n">
        <f aca="false">D172/Tham_so!$B$4*INDEX(Tham_so!$C$23:$C$27,MATCH(C172,Tham_so!$A$23:$A$27,0))</f>
        <v>5200000</v>
      </c>
    </row>
    <row r="173" customFormat="false" ht="15" hidden="false" customHeight="false" outlineLevel="0" collapsed="false">
      <c r="A173" s="14" t="s">
        <v>442</v>
      </c>
      <c r="B173" s="14" t="s">
        <v>443</v>
      </c>
      <c r="C173" s="14" t="s">
        <v>66</v>
      </c>
      <c r="D173" s="15" t="n">
        <v>3</v>
      </c>
      <c r="E173" s="14" t="s">
        <v>407</v>
      </c>
      <c r="F173" s="6" t="n">
        <f aca="false">D173/Tham_so!$B$4*INDEX(Tham_so!$C$23:$C$27,MATCH(C173,Tham_so!$A$23:$A$27,0))</f>
        <v>6450000</v>
      </c>
    </row>
    <row r="174" customFormat="false" ht="15" hidden="false" customHeight="false" outlineLevel="0" collapsed="false">
      <c r="A174" s="14" t="s">
        <v>444</v>
      </c>
      <c r="B174" s="14" t="s">
        <v>445</v>
      </c>
      <c r="C174" s="14" t="s">
        <v>70</v>
      </c>
      <c r="D174" s="15" t="n">
        <v>1</v>
      </c>
      <c r="E174" s="14" t="s">
        <v>407</v>
      </c>
      <c r="F174" s="6" t="n">
        <f aca="false">D174/Tham_so!$B$4*INDEX(Tham_so!$C$23:$C$27,MATCH(C174,Tham_so!$A$23:$A$27,0))</f>
        <v>2100000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0"/>
    <col collapsed="false" customWidth="true" hidden="false" outlineLevel="0" max="4" min="4" style="0" width="12"/>
    <col collapsed="false" customWidth="true" hidden="false" outlineLevel="0" max="5" min="5" style="0" width="20"/>
    <col collapsed="false" customWidth="true" hidden="false" outlineLevel="0" max="6" min="6" style="0" width="18"/>
  </cols>
  <sheetData>
    <row r="1" customFormat="false" ht="25" hidden="false" customHeight="false" outlineLevel="0" collapsed="false">
      <c r="A1" s="3" t="s">
        <v>446</v>
      </c>
      <c r="B1" s="3" t="s">
        <v>62</v>
      </c>
      <c r="C1" s="3" t="s">
        <v>92</v>
      </c>
      <c r="D1" s="3" t="s">
        <v>447</v>
      </c>
      <c r="E1" s="3" t="s">
        <v>63</v>
      </c>
      <c r="F1" s="3" t="s">
        <v>448</v>
      </c>
    </row>
    <row r="2" customFormat="false" ht="15" hidden="false" customHeight="false" outlineLevel="0" collapsed="false">
      <c r="A2" s="14" t="s">
        <v>64</v>
      </c>
      <c r="B2" s="14" t="s">
        <v>65</v>
      </c>
      <c r="C2" s="16" t="n">
        <f aca="false">SUMIFS(WBS_MD!$D:$D,WBS_MD!$C:$C,A2)</f>
        <v>52</v>
      </c>
      <c r="D2" s="16" t="n">
        <f aca="false">C2/Tham_so!$B$4</f>
        <v>2.6</v>
      </c>
      <c r="E2" s="5" t="n">
        <f aca="false">INDEX(Tham_so!$C$23:$C$27,MATCH(A2,Tham_so!$A$23:$A$27,0))</f>
        <v>55000000</v>
      </c>
      <c r="F2" s="6" t="n">
        <f aca="false">D2*E2</f>
        <v>143000000</v>
      </c>
    </row>
    <row r="3" customFormat="false" ht="15" hidden="false" customHeight="false" outlineLevel="0" collapsed="false">
      <c r="A3" s="14" t="s">
        <v>66</v>
      </c>
      <c r="B3" s="14" t="s">
        <v>67</v>
      </c>
      <c r="C3" s="16" t="n">
        <f aca="false">SUMIFS(WBS_MD!$D:$D,WBS_MD!$C:$C,A3)</f>
        <v>103</v>
      </c>
      <c r="D3" s="16" t="n">
        <f aca="false">C3/Tham_so!$B$4</f>
        <v>5.15</v>
      </c>
      <c r="E3" s="5" t="n">
        <f aca="false">INDEX(Tham_so!$C$23:$C$27,MATCH(A3,Tham_so!$A$23:$A$27,0))</f>
        <v>43000000</v>
      </c>
      <c r="F3" s="6" t="n">
        <f aca="false">D3*E3</f>
        <v>221450000</v>
      </c>
    </row>
    <row r="4" customFormat="false" ht="15" hidden="false" customHeight="false" outlineLevel="0" collapsed="false">
      <c r="A4" s="14" t="s">
        <v>68</v>
      </c>
      <c r="B4" s="14" t="s">
        <v>69</v>
      </c>
      <c r="C4" s="16" t="n">
        <f aca="false">SUMIFS(WBS_MD!$D:$D,WBS_MD!$C:$C,A4)</f>
        <v>177</v>
      </c>
      <c r="D4" s="16" t="n">
        <f aca="false">C4/Tham_so!$B$4</f>
        <v>8.85</v>
      </c>
      <c r="E4" s="5" t="n">
        <f aca="false">INDEX(Tham_so!$C$23:$C$27,MATCH(A4,Tham_so!$A$23:$A$27,0))</f>
        <v>40000000</v>
      </c>
      <c r="F4" s="6" t="n">
        <f aca="false">D4*E4</f>
        <v>354000000</v>
      </c>
    </row>
    <row r="5" customFormat="false" ht="15" hidden="false" customHeight="false" outlineLevel="0" collapsed="false">
      <c r="A5" s="14" t="s">
        <v>70</v>
      </c>
      <c r="B5" s="14" t="s">
        <v>71</v>
      </c>
      <c r="C5" s="16" t="n">
        <f aca="false">SUMIFS(WBS_MD!$D:$D,WBS_MD!$C:$C,A5)</f>
        <v>359</v>
      </c>
      <c r="D5" s="16" t="n">
        <f aca="false">C5/Tham_so!$B$4</f>
        <v>17.95</v>
      </c>
      <c r="E5" s="5" t="n">
        <f aca="false">INDEX(Tham_so!$C$23:$C$27,MATCH(A5,Tham_so!$A$23:$A$27,0))</f>
        <v>42000000</v>
      </c>
      <c r="F5" s="6" t="n">
        <f aca="false">D5*E5</f>
        <v>753900000</v>
      </c>
    </row>
    <row r="6" customFormat="false" ht="15" hidden="false" customHeight="false" outlineLevel="0" collapsed="false">
      <c r="A6" s="14" t="s">
        <v>72</v>
      </c>
      <c r="B6" s="14" t="s">
        <v>73</v>
      </c>
      <c r="C6" s="16" t="n">
        <f aca="false">SUMIFS(WBS_MD!$D:$D,WBS_MD!$C:$C,A6)</f>
        <v>42</v>
      </c>
      <c r="D6" s="16" t="n">
        <f aca="false">C6/Tham_so!$B$4</f>
        <v>2.1</v>
      </c>
      <c r="E6" s="5" t="n">
        <f aca="false">INDEX(Tham_so!$C$23:$C$27,MATCH(A6,Tham_so!$A$23:$A$27,0))</f>
        <v>52000000</v>
      </c>
      <c r="F6" s="6" t="n">
        <f aca="false">D6*E6</f>
        <v>109200000</v>
      </c>
    </row>
    <row r="7" customFormat="false" ht="15" hidden="false" customHeight="false" outlineLevel="0" collapsed="false">
      <c r="B7" s="4" t="s">
        <v>449</v>
      </c>
      <c r="C7" s="17" t="n">
        <f aca="false">SUM(C2:C6)</f>
        <v>733</v>
      </c>
      <c r="D7" s="17" t="n">
        <f aca="false">SUM(D2:D6)</f>
        <v>36.65</v>
      </c>
      <c r="F7" s="18" t="n">
        <f aca="false">SUM(F2:F6)</f>
        <v>1581550000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8"/>
    <col collapsed="false" customWidth="true" hidden="false" outlineLevel="0" max="2" min="2" style="0" width="50"/>
    <col collapsed="false" customWidth="true" hidden="false" outlineLevel="0" max="3" min="3" style="0" width="18"/>
    <col collapsed="false" customWidth="true" hidden="false" outlineLevel="0" max="4" min="4" style="0" width="50"/>
  </cols>
  <sheetData>
    <row r="1" customFormat="false" ht="15" hidden="false" customHeight="false" outlineLevel="0" collapsed="false">
      <c r="A1" s="3" t="s">
        <v>450</v>
      </c>
      <c r="B1" s="3" t="s">
        <v>2</v>
      </c>
      <c r="C1" s="3" t="s">
        <v>451</v>
      </c>
      <c r="D1" s="3" t="s">
        <v>452</v>
      </c>
    </row>
    <row r="2" customFormat="false" ht="15" hidden="false" customHeight="false" outlineLevel="0" collapsed="false">
      <c r="A2" s="14" t="s">
        <v>453</v>
      </c>
      <c r="B2" s="14" t="s">
        <v>454</v>
      </c>
      <c r="C2" s="12" t="n">
        <v>60000000</v>
      </c>
      <c r="D2" s="19" t="s">
        <v>455</v>
      </c>
    </row>
    <row r="3" customFormat="false" ht="15" hidden="false" customHeight="false" outlineLevel="0" collapsed="false">
      <c r="A3" s="14" t="s">
        <v>456</v>
      </c>
      <c r="B3" s="14" t="s">
        <v>457</v>
      </c>
      <c r="C3" s="12" t="n">
        <v>40000000</v>
      </c>
      <c r="D3" s="19" t="s">
        <v>455</v>
      </c>
    </row>
    <row r="4" customFormat="false" ht="15" hidden="false" customHeight="false" outlineLevel="0" collapsed="false">
      <c r="A4" s="14" t="s">
        <v>458</v>
      </c>
      <c r="B4" s="14" t="s">
        <v>459</v>
      </c>
      <c r="C4" s="12" t="n">
        <v>50000000</v>
      </c>
      <c r="D4" s="19" t="s">
        <v>460</v>
      </c>
    </row>
    <row r="5" customFormat="false" ht="15" hidden="false" customHeight="false" outlineLevel="0" collapsed="false">
      <c r="B5" s="4" t="s">
        <v>461</v>
      </c>
      <c r="C5" s="18" t="n">
        <f aca="false">SUM(C2:C4)</f>
        <v>150000000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6"/>
    <col collapsed="false" customWidth="true" hidden="false" outlineLevel="0" max="4" min="4" style="0" width="12"/>
    <col collapsed="false" customWidth="true" hidden="false" outlineLevel="0" max="5" min="5" style="0" width="18"/>
    <col collapsed="false" customWidth="true" hidden="false" outlineLevel="0" max="6" min="6" style="0" width="16"/>
    <col collapsed="false" customWidth="true" hidden="false" outlineLevel="0" max="9" min="7" style="0" width="12"/>
    <col collapsed="false" customWidth="true" hidden="false" outlineLevel="0" max="11" min="10" style="0" width="18"/>
  </cols>
  <sheetData>
    <row r="1" customFormat="false" ht="25" hidden="false" customHeight="false" outlineLevel="0" collapsed="false">
      <c r="A1" s="3" t="s">
        <v>450</v>
      </c>
      <c r="B1" s="3" t="s">
        <v>462</v>
      </c>
      <c r="C1" s="3" t="s">
        <v>463</v>
      </c>
      <c r="D1" s="3" t="s">
        <v>464</v>
      </c>
      <c r="E1" s="3" t="s">
        <v>465</v>
      </c>
      <c r="F1" s="3" t="s">
        <v>466</v>
      </c>
      <c r="G1" s="3" t="s">
        <v>467</v>
      </c>
      <c r="H1" s="3" t="s">
        <v>468</v>
      </c>
      <c r="I1" s="3" t="s">
        <v>469</v>
      </c>
      <c r="J1" s="3" t="s">
        <v>470</v>
      </c>
      <c r="K1" s="3" t="s">
        <v>471</v>
      </c>
    </row>
    <row r="2" customFormat="false" ht="15" hidden="false" customHeight="false" outlineLevel="0" collapsed="false">
      <c r="A2" s="14" t="s">
        <v>472</v>
      </c>
      <c r="B2" s="14" t="s">
        <v>473</v>
      </c>
      <c r="C2" s="14" t="s">
        <v>474</v>
      </c>
      <c r="D2" s="14" t="s">
        <v>77</v>
      </c>
      <c r="E2" s="5" t="n">
        <f aca="false">INDEX(Tham_so!$C$31:$C$36,MATCH(D2,Tham_so!$A$31:$A$36,0))</f>
        <v>51000000</v>
      </c>
      <c r="F2" s="6" t="n">
        <f aca="false">E2*Tham_so!$B$5/Tham_so!$B$6</f>
        <v>2862954.54545455</v>
      </c>
      <c r="G2" s="16" t="n">
        <f aca="false">SUMIFS(Huy_dong_luong!$C:$C,Huy_dong_luong!$A:$A,A2)</f>
        <v>86</v>
      </c>
      <c r="H2" s="16" t="n">
        <f aca="false">SUMIFS(Phan_bo_luong!$C:$C,Phan_bo_luong!$A:$A,A2)</f>
        <v>66.33</v>
      </c>
      <c r="I2" s="16" t="n">
        <f aca="false">IF(Tham_so!$B$19="cong_suc",H2,G2)</f>
        <v>66.33</v>
      </c>
      <c r="J2" s="6" t="n">
        <f aca="false">F2*I2</f>
        <v>189899775</v>
      </c>
      <c r="K2" s="6" t="n">
        <f aca="false">F2*G2</f>
        <v>246214090.909091</v>
      </c>
    </row>
    <row r="3" customFormat="false" ht="15" hidden="false" customHeight="false" outlineLevel="0" collapsed="false">
      <c r="A3" s="14" t="s">
        <v>475</v>
      </c>
      <c r="B3" s="14" t="s">
        <v>476</v>
      </c>
      <c r="C3" s="14" t="s">
        <v>474</v>
      </c>
      <c r="D3" s="14" t="s">
        <v>79</v>
      </c>
      <c r="E3" s="5" t="n">
        <f aca="false">INDEX(Tham_so!$C$31:$C$36,MATCH(D3,Tham_so!$A$31:$A$36,0))</f>
        <v>30000000</v>
      </c>
      <c r="F3" s="6" t="n">
        <f aca="false">E3*Tham_so!$B$5/Tham_so!$B$6</f>
        <v>1684090.90909091</v>
      </c>
      <c r="G3" s="16" t="n">
        <f aca="false">SUMIFS(Huy_dong_luong!$C:$C,Huy_dong_luong!$A:$A,A3)</f>
        <v>69</v>
      </c>
      <c r="H3" s="16" t="n">
        <f aca="false">SUMIFS(Phan_bo_luong!$C:$C,Phan_bo_luong!$A:$A,A3)</f>
        <v>50</v>
      </c>
      <c r="I3" s="16" t="n">
        <f aca="false">IF(Tham_so!$B$19="cong_suc",H3,G3)</f>
        <v>50</v>
      </c>
      <c r="J3" s="6" t="n">
        <f aca="false">F3*I3</f>
        <v>84204545.4545455</v>
      </c>
      <c r="K3" s="6" t="n">
        <f aca="false">F3*G3</f>
        <v>116202272.727273</v>
      </c>
    </row>
    <row r="4" customFormat="false" ht="15" hidden="false" customHeight="false" outlineLevel="0" collapsed="false">
      <c r="A4" s="14" t="s">
        <v>477</v>
      </c>
      <c r="B4" s="14" t="s">
        <v>478</v>
      </c>
      <c r="C4" s="14" t="s">
        <v>474</v>
      </c>
      <c r="D4" s="14" t="s">
        <v>81</v>
      </c>
      <c r="E4" s="5" t="n">
        <f aca="false">INDEX(Tham_so!$C$31:$C$36,MATCH(D4,Tham_so!$A$31:$A$36,0))</f>
        <v>28000000</v>
      </c>
      <c r="F4" s="6" t="n">
        <f aca="false">E4*Tham_so!$B$5/Tham_so!$B$6</f>
        <v>1571818.18181818</v>
      </c>
      <c r="G4" s="16" t="n">
        <f aca="false">SUMIFS(Huy_dong_luong!$C:$C,Huy_dong_luong!$A:$A,A4)</f>
        <v>71</v>
      </c>
      <c r="H4" s="16" t="n">
        <f aca="false">SUMIFS(Phan_bo_luong!$C:$C,Phan_bo_luong!$A:$A,A4)</f>
        <v>58</v>
      </c>
      <c r="I4" s="16" t="n">
        <f aca="false">IF(Tham_so!$B$19="cong_suc",H4,G4)</f>
        <v>58</v>
      </c>
      <c r="J4" s="6" t="n">
        <f aca="false">F4*I4</f>
        <v>91165454.5454546</v>
      </c>
      <c r="K4" s="6" t="n">
        <f aca="false">F4*G4</f>
        <v>111599090.909091</v>
      </c>
    </row>
    <row r="5" customFormat="false" ht="15" hidden="false" customHeight="false" outlineLevel="0" collapsed="false">
      <c r="A5" s="14" t="s">
        <v>479</v>
      </c>
      <c r="B5" s="14" t="s">
        <v>480</v>
      </c>
      <c r="C5" s="14" t="s">
        <v>474</v>
      </c>
      <c r="D5" s="14" t="s">
        <v>79</v>
      </c>
      <c r="E5" s="5" t="n">
        <f aca="false">INDEX(Tham_so!$C$31:$C$36,MATCH(D5,Tham_so!$A$31:$A$36,0))</f>
        <v>30000000</v>
      </c>
      <c r="F5" s="6" t="n">
        <f aca="false">E5*Tham_so!$B$5/Tham_so!$B$6</f>
        <v>1684090.90909091</v>
      </c>
      <c r="G5" s="16" t="n">
        <f aca="false">SUMIFS(Huy_dong_luong!$C:$C,Huy_dong_luong!$A:$A,A5)</f>
        <v>76</v>
      </c>
      <c r="H5" s="16" t="n">
        <f aca="false">SUMIFS(Phan_bo_luong!$C:$C,Phan_bo_luong!$A:$A,A5)</f>
        <v>66.5</v>
      </c>
      <c r="I5" s="16" t="n">
        <f aca="false">IF(Tham_so!$B$19="cong_suc",H5,G5)</f>
        <v>66.5</v>
      </c>
      <c r="J5" s="6" t="n">
        <f aca="false">F5*I5</f>
        <v>111992045.454545</v>
      </c>
      <c r="K5" s="6" t="n">
        <f aca="false">F5*G5</f>
        <v>127990909.090909</v>
      </c>
    </row>
    <row r="6" customFormat="false" ht="15" hidden="false" customHeight="false" outlineLevel="0" collapsed="false">
      <c r="A6" s="14" t="s">
        <v>481</v>
      </c>
      <c r="B6" s="14" t="s">
        <v>482</v>
      </c>
      <c r="C6" s="14" t="s">
        <v>474</v>
      </c>
      <c r="D6" s="14" t="s">
        <v>83</v>
      </c>
      <c r="E6" s="5" t="n">
        <f aca="false">INDEX(Tham_so!$C$31:$C$36,MATCH(D6,Tham_so!$A$31:$A$36,0))</f>
        <v>27000000</v>
      </c>
      <c r="F6" s="6" t="n">
        <f aca="false">E6*Tham_so!$B$5/Tham_so!$B$6</f>
        <v>1515681.81818182</v>
      </c>
      <c r="G6" s="16" t="n">
        <f aca="false">SUMIFS(Huy_dong_luong!$C:$C,Huy_dong_luong!$A:$A,A6)</f>
        <v>83</v>
      </c>
      <c r="H6" s="16" t="n">
        <f aca="false">SUMIFS(Phan_bo_luong!$C:$C,Phan_bo_luong!$A:$A,A6)</f>
        <v>72.5</v>
      </c>
      <c r="I6" s="16" t="n">
        <f aca="false">IF(Tham_so!$B$19="cong_suc",H6,G6)</f>
        <v>72.5</v>
      </c>
      <c r="J6" s="6" t="n">
        <f aca="false">F6*I6</f>
        <v>109886931.818182</v>
      </c>
      <c r="K6" s="6" t="n">
        <f aca="false">F6*G6</f>
        <v>125801590.909091</v>
      </c>
    </row>
    <row r="7" customFormat="false" ht="15" hidden="false" customHeight="false" outlineLevel="0" collapsed="false">
      <c r="A7" s="14" t="s">
        <v>483</v>
      </c>
      <c r="B7" s="14" t="s">
        <v>484</v>
      </c>
      <c r="C7" s="14" t="s">
        <v>485</v>
      </c>
      <c r="D7" s="14" t="s">
        <v>85</v>
      </c>
      <c r="E7" s="5" t="n">
        <f aca="false">INDEX(Tham_so!$C$31:$C$36,MATCH(D7,Tham_so!$A$31:$A$36,0))</f>
        <v>47000000</v>
      </c>
      <c r="F7" s="6" t="n">
        <f aca="false">E7*Tham_so!$B$5/Tham_so!$B$6</f>
        <v>2638409.09090909</v>
      </c>
      <c r="G7" s="16" t="n">
        <f aca="false">SUMIFS(Huy_dong_luong!$C:$C,Huy_dong_luong!$A:$A,A7)</f>
        <v>80</v>
      </c>
      <c r="H7" s="16" t="n">
        <f aca="false">SUMIFS(Phan_bo_luong!$C:$C,Phan_bo_luong!$A:$A,A7)</f>
        <v>70.67</v>
      </c>
      <c r="I7" s="16" t="n">
        <f aca="false">IF(Tham_so!$B$19="cong_suc",H7,G7)</f>
        <v>70.67</v>
      </c>
      <c r="J7" s="6" t="n">
        <f aca="false">F7*I7</f>
        <v>186456370.454546</v>
      </c>
      <c r="K7" s="6" t="n">
        <f aca="false">F7*G7</f>
        <v>211072727.272727</v>
      </c>
    </row>
    <row r="8" customFormat="false" ht="15" hidden="false" customHeight="false" outlineLevel="0" collapsed="false">
      <c r="A8" s="14" t="s">
        <v>486</v>
      </c>
      <c r="B8" s="14" t="s">
        <v>487</v>
      </c>
      <c r="C8" s="14" t="s">
        <v>485</v>
      </c>
      <c r="D8" s="14" t="s">
        <v>79</v>
      </c>
      <c r="E8" s="5" t="n">
        <f aca="false">INDEX(Tham_so!$C$31:$C$36,MATCH(D8,Tham_so!$A$31:$A$36,0))</f>
        <v>30000000</v>
      </c>
      <c r="F8" s="6" t="n">
        <f aca="false">E8*Tham_so!$B$5/Tham_so!$B$6</f>
        <v>1684090.90909091</v>
      </c>
      <c r="G8" s="16" t="n">
        <f aca="false">SUMIFS(Huy_dong_luong!$C:$C,Huy_dong_luong!$A:$A,A8)</f>
        <v>85</v>
      </c>
      <c r="H8" s="16" t="n">
        <f aca="false">SUMIFS(Phan_bo_luong!$C:$C,Phan_bo_luong!$A:$A,A8)</f>
        <v>67.5</v>
      </c>
      <c r="I8" s="16" t="n">
        <f aca="false">IF(Tham_so!$B$19="cong_suc",H8,G8)</f>
        <v>67.5</v>
      </c>
      <c r="J8" s="6" t="n">
        <f aca="false">F8*I8</f>
        <v>113676136.363636</v>
      </c>
      <c r="K8" s="6" t="n">
        <f aca="false">F8*G8</f>
        <v>143147727.272727</v>
      </c>
    </row>
    <row r="9" customFormat="false" ht="15" hidden="false" customHeight="false" outlineLevel="0" collapsed="false">
      <c r="A9" s="14" t="s">
        <v>488</v>
      </c>
      <c r="B9" s="14" t="s">
        <v>489</v>
      </c>
      <c r="C9" s="14" t="s">
        <v>485</v>
      </c>
      <c r="D9" s="14" t="s">
        <v>79</v>
      </c>
      <c r="E9" s="5" t="n">
        <f aca="false">INDEX(Tham_so!$C$31:$C$36,MATCH(D9,Tham_so!$A$31:$A$36,0))</f>
        <v>30000000</v>
      </c>
      <c r="F9" s="6" t="n">
        <f aca="false">E9*Tham_so!$B$5/Tham_so!$B$6</f>
        <v>1684090.90909091</v>
      </c>
      <c r="G9" s="16" t="n">
        <f aca="false">SUMIFS(Huy_dong_luong!$C:$C,Huy_dong_luong!$A:$A,A9)</f>
        <v>77</v>
      </c>
      <c r="H9" s="16" t="n">
        <f aca="false">SUMIFS(Phan_bo_luong!$C:$C,Phan_bo_luong!$A:$A,A9)</f>
        <v>64</v>
      </c>
      <c r="I9" s="16" t="n">
        <f aca="false">IF(Tham_so!$B$19="cong_suc",H9,G9)</f>
        <v>64</v>
      </c>
      <c r="J9" s="6" t="n">
        <f aca="false">F9*I9</f>
        <v>107781818.181818</v>
      </c>
      <c r="K9" s="6" t="n">
        <f aca="false">F9*G9</f>
        <v>129675000</v>
      </c>
    </row>
    <row r="10" customFormat="false" ht="15" hidden="false" customHeight="false" outlineLevel="0" collapsed="false">
      <c r="A10" s="14" t="s">
        <v>490</v>
      </c>
      <c r="B10" s="14" t="s">
        <v>491</v>
      </c>
      <c r="C10" s="14" t="s">
        <v>485</v>
      </c>
      <c r="D10" s="14" t="s">
        <v>79</v>
      </c>
      <c r="E10" s="5" t="n">
        <f aca="false">INDEX(Tham_so!$C$31:$C$36,MATCH(D10,Tham_so!$A$31:$A$36,0))</f>
        <v>30000000</v>
      </c>
      <c r="F10" s="6" t="n">
        <f aca="false">E10*Tham_so!$B$5/Tham_so!$B$6</f>
        <v>1684090.90909091</v>
      </c>
      <c r="G10" s="16" t="n">
        <f aca="false">SUMIFS(Huy_dong_luong!$C:$C,Huy_dong_luong!$A:$A,A10)</f>
        <v>86</v>
      </c>
      <c r="H10" s="16" t="n">
        <f aca="false">SUMIFS(Phan_bo_luong!$C:$C,Phan_bo_luong!$A:$A,A10)</f>
        <v>59.5</v>
      </c>
      <c r="I10" s="16" t="n">
        <f aca="false">IF(Tham_so!$B$19="cong_suc",H10,G10)</f>
        <v>59.5</v>
      </c>
      <c r="J10" s="6" t="n">
        <f aca="false">F10*I10</f>
        <v>100203409.090909</v>
      </c>
      <c r="K10" s="6" t="n">
        <f aca="false">F10*G10</f>
        <v>144831818.181818</v>
      </c>
    </row>
    <row r="11" customFormat="false" ht="15" hidden="false" customHeight="false" outlineLevel="0" collapsed="false">
      <c r="A11" s="14" t="s">
        <v>492</v>
      </c>
      <c r="B11" s="14" t="s">
        <v>493</v>
      </c>
      <c r="C11" s="14" t="s">
        <v>485</v>
      </c>
      <c r="D11" s="14" t="s">
        <v>87</v>
      </c>
      <c r="E11" s="5" t="n">
        <f aca="false">INDEX(Tham_so!$C$31:$C$36,MATCH(D11,Tham_so!$A$31:$A$36,0))</f>
        <v>24000000</v>
      </c>
      <c r="F11" s="6" t="n">
        <f aca="false">E11*Tham_so!$B$5/Tham_so!$B$6</f>
        <v>1347272.72727273</v>
      </c>
      <c r="G11" s="16" t="n">
        <f aca="false">SUMIFS(Huy_dong_luong!$C:$C,Huy_dong_luong!$A:$A,A11)</f>
        <v>70</v>
      </c>
      <c r="H11" s="16" t="n">
        <f aca="false">SUMIFS(Phan_bo_luong!$C:$C,Phan_bo_luong!$A:$A,A11)</f>
        <v>49.5</v>
      </c>
      <c r="I11" s="16" t="n">
        <f aca="false">IF(Tham_so!$B$19="cong_suc",H11,G11)</f>
        <v>49.5</v>
      </c>
      <c r="J11" s="6" t="n">
        <f aca="false">F11*I11</f>
        <v>66690000</v>
      </c>
      <c r="K11" s="6" t="n">
        <f aca="false">F11*G11</f>
        <v>94309090.9090909</v>
      </c>
    </row>
    <row r="12" customFormat="false" ht="15" hidden="false" customHeight="false" outlineLevel="0" collapsed="false">
      <c r="A12" s="14" t="s">
        <v>494</v>
      </c>
      <c r="B12" s="14" t="s">
        <v>495</v>
      </c>
      <c r="C12" s="14" t="s">
        <v>485</v>
      </c>
      <c r="D12" s="14" t="s">
        <v>87</v>
      </c>
      <c r="E12" s="5" t="n">
        <f aca="false">INDEX(Tham_so!$C$31:$C$36,MATCH(D12,Tham_so!$A$31:$A$36,0))</f>
        <v>24000000</v>
      </c>
      <c r="F12" s="6" t="n">
        <f aca="false">E12*Tham_so!$B$5/Tham_so!$B$6</f>
        <v>1347272.72727273</v>
      </c>
      <c r="G12" s="16" t="n">
        <f aca="false">SUMIFS(Huy_dong_luong!$C:$C,Huy_dong_luong!$A:$A,A12)</f>
        <v>63</v>
      </c>
      <c r="H12" s="16" t="n">
        <f aca="false">SUMIFS(Phan_bo_luong!$C:$C,Phan_bo_luong!$A:$A,A12)</f>
        <v>50</v>
      </c>
      <c r="I12" s="16" t="n">
        <f aca="false">IF(Tham_so!$B$19="cong_suc",H12,G12)</f>
        <v>50</v>
      </c>
      <c r="J12" s="6" t="n">
        <f aca="false">F12*I12</f>
        <v>67363636.3636364</v>
      </c>
      <c r="K12" s="6" t="n">
        <f aca="false">F12*G12</f>
        <v>84878181.8181818</v>
      </c>
    </row>
    <row r="13" customFormat="false" ht="15" hidden="false" customHeight="false" outlineLevel="0" collapsed="false">
      <c r="A13" s="14" t="s">
        <v>496</v>
      </c>
      <c r="B13" s="14" t="s">
        <v>497</v>
      </c>
      <c r="C13" s="14" t="s">
        <v>485</v>
      </c>
      <c r="D13" s="14" t="s">
        <v>79</v>
      </c>
      <c r="E13" s="5" t="n">
        <f aca="false">INDEX(Tham_so!$C$31:$C$36,MATCH(D13,Tham_so!$A$31:$A$36,0))</f>
        <v>30000000</v>
      </c>
      <c r="F13" s="6" t="n">
        <f aca="false">E13*Tham_so!$B$5/Tham_so!$B$6</f>
        <v>1684090.90909091</v>
      </c>
      <c r="G13" s="16" t="n">
        <f aca="false">SUMIFS(Huy_dong_luong!$C:$C,Huy_dong_luong!$A:$A,A13)</f>
        <v>62</v>
      </c>
      <c r="H13" s="16" t="n">
        <f aca="false">SUMIFS(Phan_bo_luong!$C:$C,Phan_bo_luong!$A:$A,A13)</f>
        <v>58.5</v>
      </c>
      <c r="I13" s="16" t="n">
        <f aca="false">IF(Tham_so!$B$19="cong_suc",H13,G13)</f>
        <v>58.5</v>
      </c>
      <c r="J13" s="6" t="n">
        <f aca="false">F13*I13</f>
        <v>98519318.1818182</v>
      </c>
      <c r="K13" s="6" t="n">
        <f aca="false">F13*G13</f>
        <v>104413636.363636</v>
      </c>
    </row>
    <row r="14" customFormat="false" ht="15" hidden="false" customHeight="false" outlineLevel="0" collapsed="false">
      <c r="B14" s="4" t="s">
        <v>498</v>
      </c>
      <c r="G14" s="17" t="n">
        <f aca="false">SUM(G2:G13)</f>
        <v>908</v>
      </c>
      <c r="H14" s="17" t="n">
        <f aca="false">SUM(H2:H13)</f>
        <v>733</v>
      </c>
      <c r="I14" s="17" t="n">
        <f aca="false">SUM(I2:I13)</f>
        <v>733</v>
      </c>
      <c r="J14" s="18" t="n">
        <f aca="false">SUM(J2:J13)</f>
        <v>1327839440.90909</v>
      </c>
      <c r="K14" s="18" t="n">
        <f aca="false">SUM(K2:K13)</f>
        <v>1640136136.36364</v>
      </c>
    </row>
    <row r="15" customFormat="false" ht="15" hidden="false" customHeight="false" outlineLevel="0" collapsed="false">
      <c r="B15" s="2" t="s">
        <v>499</v>
      </c>
      <c r="J15" s="6" t="n">
        <f aca="false">Nhan_cong!$F$7-J14</f>
        <v>253710559.090909</v>
      </c>
    </row>
    <row r="16" customFormat="false" ht="15" hidden="false" customHeight="false" outlineLevel="0" collapsed="false">
      <c r="B16" s="2" t="s">
        <v>500</v>
      </c>
      <c r="J16" s="7" t="n">
        <f aca="false">IF(Nhan_cong!$F$7=0,0,J14/Nhan_cong!$F$7)</f>
        <v>0.839581069779072</v>
      </c>
    </row>
    <row r="17" customFormat="false" ht="15" hidden="false" customHeight="false" outlineLevel="0" collapsed="false">
      <c r="B17" s="2" t="s">
        <v>501</v>
      </c>
      <c r="J17" s="16" t="n">
        <f aca="false">IF(J14=0,0,Nhan_cong!$F$7/(J14/I14))</f>
        <v>873.054462975067</v>
      </c>
    </row>
    <row r="18" customFormat="false" ht="15" hidden="false" customHeight="false" outlineLevel="0" collapsed="false">
      <c r="B18" s="2" t="s">
        <v>502</v>
      </c>
      <c r="J18" s="7" t="n">
        <f aca="false">IF(G14=0,0,Nhan_cong!$C$7/G14)</f>
        <v>0.80726872246696</v>
      </c>
    </row>
    <row r="19" customFormat="false" ht="15" hidden="false" customHeight="false" outlineLevel="0" collapsed="false">
      <c r="B19" s="2" t="s">
        <v>503</v>
      </c>
      <c r="J19" s="16" t="n">
        <f aca="false">IF(K14=0,0,Nhan_cong!$F$7/(K14/G14))</f>
        <v>875.56597782418</v>
      </c>
    </row>
    <row r="20" customFormat="false" ht="15" hidden="false" customHeight="false" outlineLevel="0" collapsed="false">
      <c r="B20" s="2" t="s">
        <v>504</v>
      </c>
      <c r="J20" s="7" t="n">
        <f aca="false">IF(J19=0,0,Nhan_cong!$C$7/J19)</f>
        <v>0.837172775741626</v>
      </c>
    </row>
    <row r="22" customFormat="false" ht="15" hidden="false" customHeight="false" outlineLevel="0" collapsed="false">
      <c r="A22" s="8"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0"/>
    <col collapsed="false" customWidth="true" hidden="false" outlineLevel="0" max="4" min="4" style="0" width="20"/>
  </cols>
  <sheetData>
    <row r="1" customFormat="false" ht="25" hidden="false" customHeight="false" outlineLevel="0" collapsed="false">
      <c r="A1" s="3" t="s">
        <v>89</v>
      </c>
      <c r="B1" s="3" t="s">
        <v>506</v>
      </c>
      <c r="C1" s="3" t="s">
        <v>507</v>
      </c>
      <c r="D1" s="3" t="s">
        <v>508</v>
      </c>
    </row>
    <row r="2" customFormat="false" ht="15" hidden="false" customHeight="false" outlineLevel="0" collapsed="false">
      <c r="A2" s="14" t="s">
        <v>95</v>
      </c>
      <c r="B2" s="14" t="n">
        <v>1</v>
      </c>
      <c r="C2" s="20" t="n">
        <v>1</v>
      </c>
      <c r="D2" s="6" t="n">
        <f aca="false">INDEX(WBS_MD!$F$2:$F$174,MATCH(A2,WBS_MD!$A$2:$A$174,0))*C2</f>
        <v>5500000</v>
      </c>
    </row>
    <row r="3" customFormat="false" ht="15" hidden="false" customHeight="false" outlineLevel="0" collapsed="false">
      <c r="A3" s="14" t="s">
        <v>98</v>
      </c>
      <c r="B3" s="14" t="n">
        <v>1</v>
      </c>
      <c r="C3" s="20" t="n">
        <v>0.0769230769230769</v>
      </c>
      <c r="D3" s="6" t="n">
        <f aca="false">INDEX(WBS_MD!$F$2:$F$174,MATCH(A3,WBS_MD!$A$2:$A$174,0))*C3</f>
        <v>846153.846153846</v>
      </c>
    </row>
    <row r="4" customFormat="false" ht="15" hidden="false" customHeight="false" outlineLevel="0" collapsed="false">
      <c r="A4" s="14" t="s">
        <v>98</v>
      </c>
      <c r="B4" s="14" t="n">
        <v>2</v>
      </c>
      <c r="C4" s="20" t="n">
        <v>0.0769230769230769</v>
      </c>
      <c r="D4" s="6" t="n">
        <f aca="false">INDEX(WBS_MD!$F$2:$F$174,MATCH(A4,WBS_MD!$A$2:$A$174,0))*C4</f>
        <v>846153.846153846</v>
      </c>
    </row>
    <row r="5" customFormat="false" ht="15" hidden="false" customHeight="false" outlineLevel="0" collapsed="false">
      <c r="A5" s="14" t="s">
        <v>98</v>
      </c>
      <c r="B5" s="14" t="n">
        <v>3</v>
      </c>
      <c r="C5" s="20" t="n">
        <v>0.0769230769230769</v>
      </c>
      <c r="D5" s="6" t="n">
        <f aca="false">INDEX(WBS_MD!$F$2:$F$174,MATCH(A5,WBS_MD!$A$2:$A$174,0))*C5</f>
        <v>846153.846153846</v>
      </c>
    </row>
    <row r="6" customFormat="false" ht="15" hidden="false" customHeight="false" outlineLevel="0" collapsed="false">
      <c r="A6" s="14" t="s">
        <v>98</v>
      </c>
      <c r="B6" s="14" t="n">
        <v>4</v>
      </c>
      <c r="C6" s="20" t="n">
        <v>0.0769230769230769</v>
      </c>
      <c r="D6" s="6" t="n">
        <f aca="false">INDEX(WBS_MD!$F$2:$F$174,MATCH(A6,WBS_MD!$A$2:$A$174,0))*C6</f>
        <v>846153.846153846</v>
      </c>
    </row>
    <row r="7" customFormat="false" ht="15" hidden="false" customHeight="false" outlineLevel="0" collapsed="false">
      <c r="A7" s="14" t="s">
        <v>98</v>
      </c>
      <c r="B7" s="14" t="n">
        <v>5</v>
      </c>
      <c r="C7" s="20" t="n">
        <v>0.0769230769230769</v>
      </c>
      <c r="D7" s="6" t="n">
        <f aca="false">INDEX(WBS_MD!$F$2:$F$174,MATCH(A7,WBS_MD!$A$2:$A$174,0))*C7</f>
        <v>846153.846153846</v>
      </c>
    </row>
    <row r="8" customFormat="false" ht="15" hidden="false" customHeight="false" outlineLevel="0" collapsed="false">
      <c r="A8" s="14" t="s">
        <v>98</v>
      </c>
      <c r="B8" s="14" t="n">
        <v>6</v>
      </c>
      <c r="C8" s="20" t="n">
        <v>0.0769230769230769</v>
      </c>
      <c r="D8" s="6" t="n">
        <f aca="false">INDEX(WBS_MD!$F$2:$F$174,MATCH(A8,WBS_MD!$A$2:$A$174,0))*C8</f>
        <v>846153.846153846</v>
      </c>
    </row>
    <row r="9" customFormat="false" ht="15" hidden="false" customHeight="false" outlineLevel="0" collapsed="false">
      <c r="A9" s="14" t="s">
        <v>98</v>
      </c>
      <c r="B9" s="14" t="n">
        <v>7</v>
      </c>
      <c r="C9" s="20" t="n">
        <v>0.0769230769230769</v>
      </c>
      <c r="D9" s="6" t="n">
        <f aca="false">INDEX(WBS_MD!$F$2:$F$174,MATCH(A9,WBS_MD!$A$2:$A$174,0))*C9</f>
        <v>846153.846153846</v>
      </c>
    </row>
    <row r="10" customFormat="false" ht="15" hidden="false" customHeight="false" outlineLevel="0" collapsed="false">
      <c r="A10" s="14" t="s">
        <v>98</v>
      </c>
      <c r="B10" s="14" t="n">
        <v>8</v>
      </c>
      <c r="C10" s="20" t="n">
        <v>0.0769230769230769</v>
      </c>
      <c r="D10" s="6" t="n">
        <f aca="false">INDEX(WBS_MD!$F$2:$F$174,MATCH(A10,WBS_MD!$A$2:$A$174,0))*C10</f>
        <v>846153.846153846</v>
      </c>
    </row>
    <row r="11" customFormat="false" ht="15" hidden="false" customHeight="false" outlineLevel="0" collapsed="false">
      <c r="A11" s="14" t="s">
        <v>98</v>
      </c>
      <c r="B11" s="14" t="n">
        <v>9</v>
      </c>
      <c r="C11" s="20" t="n">
        <v>0.0769230769230769</v>
      </c>
      <c r="D11" s="6" t="n">
        <f aca="false">INDEX(WBS_MD!$F$2:$F$174,MATCH(A11,WBS_MD!$A$2:$A$174,0))*C11</f>
        <v>846153.846153846</v>
      </c>
    </row>
    <row r="12" customFormat="false" ht="15" hidden="false" customHeight="false" outlineLevel="0" collapsed="false">
      <c r="A12" s="14" t="s">
        <v>98</v>
      </c>
      <c r="B12" s="14" t="n">
        <v>10</v>
      </c>
      <c r="C12" s="20" t="n">
        <v>0.0769230769230769</v>
      </c>
      <c r="D12" s="6" t="n">
        <f aca="false">INDEX(WBS_MD!$F$2:$F$174,MATCH(A12,WBS_MD!$A$2:$A$174,0))*C12</f>
        <v>846153.846153846</v>
      </c>
    </row>
    <row r="13" customFormat="false" ht="15" hidden="false" customHeight="false" outlineLevel="0" collapsed="false">
      <c r="A13" s="14" t="s">
        <v>98</v>
      </c>
      <c r="B13" s="14" t="n">
        <v>11</v>
      </c>
      <c r="C13" s="20" t="n">
        <v>0.0769230769230769</v>
      </c>
      <c r="D13" s="6" t="n">
        <f aca="false">INDEX(WBS_MD!$F$2:$F$174,MATCH(A13,WBS_MD!$A$2:$A$174,0))*C13</f>
        <v>846153.846153846</v>
      </c>
    </row>
    <row r="14" customFormat="false" ht="15" hidden="false" customHeight="false" outlineLevel="0" collapsed="false">
      <c r="A14" s="14" t="s">
        <v>98</v>
      </c>
      <c r="B14" s="14" t="n">
        <v>12</v>
      </c>
      <c r="C14" s="20" t="n">
        <v>0.0769230769230769</v>
      </c>
      <c r="D14" s="6" t="n">
        <f aca="false">INDEX(WBS_MD!$F$2:$F$174,MATCH(A14,WBS_MD!$A$2:$A$174,0))*C14</f>
        <v>846153.846153846</v>
      </c>
    </row>
    <row r="15" customFormat="false" ht="15" hidden="false" customHeight="false" outlineLevel="0" collapsed="false">
      <c r="A15" s="14" t="s">
        <v>98</v>
      </c>
      <c r="B15" s="14" t="n">
        <v>13</v>
      </c>
      <c r="C15" s="20" t="n">
        <v>0.0769230769230769</v>
      </c>
      <c r="D15" s="6" t="n">
        <f aca="false">INDEX(WBS_MD!$F$2:$F$174,MATCH(A15,WBS_MD!$A$2:$A$174,0))*C15</f>
        <v>846153.846153846</v>
      </c>
    </row>
    <row r="16" customFormat="false" ht="15" hidden="false" customHeight="false" outlineLevel="0" collapsed="false">
      <c r="A16" s="14" t="s">
        <v>100</v>
      </c>
      <c r="B16" s="14" t="n">
        <v>1</v>
      </c>
      <c r="C16" s="20" t="n">
        <v>0.0769230769230769</v>
      </c>
      <c r="D16" s="6" t="n">
        <f aca="false">INDEX(WBS_MD!$F$2:$F$174,MATCH(A16,WBS_MD!$A$2:$A$174,0))*C16</f>
        <v>634615.384615385</v>
      </c>
    </row>
    <row r="17" customFormat="false" ht="15" hidden="false" customHeight="false" outlineLevel="0" collapsed="false">
      <c r="A17" s="14" t="s">
        <v>100</v>
      </c>
      <c r="B17" s="14" t="n">
        <v>2</v>
      </c>
      <c r="C17" s="20" t="n">
        <v>0.0769230769230769</v>
      </c>
      <c r="D17" s="6" t="n">
        <f aca="false">INDEX(WBS_MD!$F$2:$F$174,MATCH(A17,WBS_MD!$A$2:$A$174,0))*C17</f>
        <v>634615.384615385</v>
      </c>
    </row>
    <row r="18" customFormat="false" ht="15" hidden="false" customHeight="false" outlineLevel="0" collapsed="false">
      <c r="A18" s="14" t="s">
        <v>100</v>
      </c>
      <c r="B18" s="14" t="n">
        <v>3</v>
      </c>
      <c r="C18" s="20" t="n">
        <v>0.0769230769230769</v>
      </c>
      <c r="D18" s="6" t="n">
        <f aca="false">INDEX(WBS_MD!$F$2:$F$174,MATCH(A18,WBS_MD!$A$2:$A$174,0))*C18</f>
        <v>634615.384615385</v>
      </c>
    </row>
    <row r="19" customFormat="false" ht="15" hidden="false" customHeight="false" outlineLevel="0" collapsed="false">
      <c r="A19" s="14" t="s">
        <v>100</v>
      </c>
      <c r="B19" s="14" t="n">
        <v>4</v>
      </c>
      <c r="C19" s="20" t="n">
        <v>0.0769230769230769</v>
      </c>
      <c r="D19" s="6" t="n">
        <f aca="false">INDEX(WBS_MD!$F$2:$F$174,MATCH(A19,WBS_MD!$A$2:$A$174,0))*C19</f>
        <v>634615.384615385</v>
      </c>
    </row>
    <row r="20" customFormat="false" ht="15" hidden="false" customHeight="false" outlineLevel="0" collapsed="false">
      <c r="A20" s="14" t="s">
        <v>100</v>
      </c>
      <c r="B20" s="14" t="n">
        <v>5</v>
      </c>
      <c r="C20" s="20" t="n">
        <v>0.0769230769230769</v>
      </c>
      <c r="D20" s="6" t="n">
        <f aca="false">INDEX(WBS_MD!$F$2:$F$174,MATCH(A20,WBS_MD!$A$2:$A$174,0))*C20</f>
        <v>634615.384615385</v>
      </c>
    </row>
    <row r="21" customFormat="false" ht="15" hidden="false" customHeight="false" outlineLevel="0" collapsed="false">
      <c r="A21" s="14" t="s">
        <v>100</v>
      </c>
      <c r="B21" s="14" t="n">
        <v>6</v>
      </c>
      <c r="C21" s="20" t="n">
        <v>0.0769230769230769</v>
      </c>
      <c r="D21" s="6" t="n">
        <f aca="false">INDEX(WBS_MD!$F$2:$F$174,MATCH(A21,WBS_MD!$A$2:$A$174,0))*C21</f>
        <v>634615.384615385</v>
      </c>
    </row>
    <row r="22" customFormat="false" ht="15" hidden="false" customHeight="false" outlineLevel="0" collapsed="false">
      <c r="A22" s="14" t="s">
        <v>100</v>
      </c>
      <c r="B22" s="14" t="n">
        <v>7</v>
      </c>
      <c r="C22" s="20" t="n">
        <v>0.0769230769230769</v>
      </c>
      <c r="D22" s="6" t="n">
        <f aca="false">INDEX(WBS_MD!$F$2:$F$174,MATCH(A22,WBS_MD!$A$2:$A$174,0))*C22</f>
        <v>634615.384615385</v>
      </c>
    </row>
    <row r="23" customFormat="false" ht="15" hidden="false" customHeight="false" outlineLevel="0" collapsed="false">
      <c r="A23" s="14" t="s">
        <v>100</v>
      </c>
      <c r="B23" s="14" t="n">
        <v>8</v>
      </c>
      <c r="C23" s="20" t="n">
        <v>0.0769230769230769</v>
      </c>
      <c r="D23" s="6" t="n">
        <f aca="false">INDEX(WBS_MD!$F$2:$F$174,MATCH(A23,WBS_MD!$A$2:$A$174,0))*C23</f>
        <v>634615.384615385</v>
      </c>
    </row>
    <row r="24" customFormat="false" ht="15" hidden="false" customHeight="false" outlineLevel="0" collapsed="false">
      <c r="A24" s="14" t="s">
        <v>100</v>
      </c>
      <c r="B24" s="14" t="n">
        <v>9</v>
      </c>
      <c r="C24" s="20" t="n">
        <v>0.0769230769230769</v>
      </c>
      <c r="D24" s="6" t="n">
        <f aca="false">INDEX(WBS_MD!$F$2:$F$174,MATCH(A24,WBS_MD!$A$2:$A$174,0))*C24</f>
        <v>634615.384615385</v>
      </c>
    </row>
    <row r="25" customFormat="false" ht="15" hidden="false" customHeight="false" outlineLevel="0" collapsed="false">
      <c r="A25" s="14" t="s">
        <v>100</v>
      </c>
      <c r="B25" s="14" t="n">
        <v>10</v>
      </c>
      <c r="C25" s="20" t="n">
        <v>0.0769230769230769</v>
      </c>
      <c r="D25" s="6" t="n">
        <f aca="false">INDEX(WBS_MD!$F$2:$F$174,MATCH(A25,WBS_MD!$A$2:$A$174,0))*C25</f>
        <v>634615.384615385</v>
      </c>
    </row>
    <row r="26" customFormat="false" ht="15" hidden="false" customHeight="false" outlineLevel="0" collapsed="false">
      <c r="A26" s="14" t="s">
        <v>100</v>
      </c>
      <c r="B26" s="14" t="n">
        <v>11</v>
      </c>
      <c r="C26" s="20" t="n">
        <v>0.0769230769230769</v>
      </c>
      <c r="D26" s="6" t="n">
        <f aca="false">INDEX(WBS_MD!$F$2:$F$174,MATCH(A26,WBS_MD!$A$2:$A$174,0))*C26</f>
        <v>634615.384615385</v>
      </c>
    </row>
    <row r="27" customFormat="false" ht="15" hidden="false" customHeight="false" outlineLevel="0" collapsed="false">
      <c r="A27" s="14" t="s">
        <v>100</v>
      </c>
      <c r="B27" s="14" t="n">
        <v>12</v>
      </c>
      <c r="C27" s="20" t="n">
        <v>0.0769230769230769</v>
      </c>
      <c r="D27" s="6" t="n">
        <f aca="false">INDEX(WBS_MD!$F$2:$F$174,MATCH(A27,WBS_MD!$A$2:$A$174,0))*C27</f>
        <v>634615.384615385</v>
      </c>
    </row>
    <row r="28" customFormat="false" ht="15" hidden="false" customHeight="false" outlineLevel="0" collapsed="false">
      <c r="A28" s="14" t="s">
        <v>100</v>
      </c>
      <c r="B28" s="14" t="n">
        <v>13</v>
      </c>
      <c r="C28" s="20" t="n">
        <v>0.0769230769230769</v>
      </c>
      <c r="D28" s="6" t="n">
        <f aca="false">INDEX(WBS_MD!$F$2:$F$174,MATCH(A28,WBS_MD!$A$2:$A$174,0))*C28</f>
        <v>634615.384615385</v>
      </c>
    </row>
    <row r="29" customFormat="false" ht="15" hidden="false" customHeight="false" outlineLevel="0" collapsed="false">
      <c r="A29" s="14" t="s">
        <v>102</v>
      </c>
      <c r="B29" s="14" t="n">
        <v>1</v>
      </c>
      <c r="C29" s="20" t="n">
        <v>0.0769230769230769</v>
      </c>
      <c r="D29" s="6" t="n">
        <f aca="false">INDEX(WBS_MD!$F$2:$F$174,MATCH(A29,WBS_MD!$A$2:$A$174,0))*C29</f>
        <v>634615.384615385</v>
      </c>
    </row>
    <row r="30" customFormat="false" ht="15" hidden="false" customHeight="false" outlineLevel="0" collapsed="false">
      <c r="A30" s="14" t="s">
        <v>102</v>
      </c>
      <c r="B30" s="14" t="n">
        <v>2</v>
      </c>
      <c r="C30" s="20" t="n">
        <v>0.0769230769230769</v>
      </c>
      <c r="D30" s="6" t="n">
        <f aca="false">INDEX(WBS_MD!$F$2:$F$174,MATCH(A30,WBS_MD!$A$2:$A$174,0))*C30</f>
        <v>634615.384615385</v>
      </c>
    </row>
    <row r="31" customFormat="false" ht="15" hidden="false" customHeight="false" outlineLevel="0" collapsed="false">
      <c r="A31" s="14" t="s">
        <v>102</v>
      </c>
      <c r="B31" s="14" t="n">
        <v>3</v>
      </c>
      <c r="C31" s="20" t="n">
        <v>0.0769230769230769</v>
      </c>
      <c r="D31" s="6" t="n">
        <f aca="false">INDEX(WBS_MD!$F$2:$F$174,MATCH(A31,WBS_MD!$A$2:$A$174,0))*C31</f>
        <v>634615.384615385</v>
      </c>
    </row>
    <row r="32" customFormat="false" ht="15" hidden="false" customHeight="false" outlineLevel="0" collapsed="false">
      <c r="A32" s="14" t="s">
        <v>102</v>
      </c>
      <c r="B32" s="14" t="n">
        <v>4</v>
      </c>
      <c r="C32" s="20" t="n">
        <v>0.0769230769230769</v>
      </c>
      <c r="D32" s="6" t="n">
        <f aca="false">INDEX(WBS_MD!$F$2:$F$174,MATCH(A32,WBS_MD!$A$2:$A$174,0))*C32</f>
        <v>634615.384615385</v>
      </c>
    </row>
    <row r="33" customFormat="false" ht="15" hidden="false" customHeight="false" outlineLevel="0" collapsed="false">
      <c r="A33" s="14" t="s">
        <v>102</v>
      </c>
      <c r="B33" s="14" t="n">
        <v>5</v>
      </c>
      <c r="C33" s="20" t="n">
        <v>0.0769230769230769</v>
      </c>
      <c r="D33" s="6" t="n">
        <f aca="false">INDEX(WBS_MD!$F$2:$F$174,MATCH(A33,WBS_MD!$A$2:$A$174,0))*C33</f>
        <v>634615.384615385</v>
      </c>
    </row>
    <row r="34" customFormat="false" ht="15" hidden="false" customHeight="false" outlineLevel="0" collapsed="false">
      <c r="A34" s="14" t="s">
        <v>102</v>
      </c>
      <c r="B34" s="14" t="n">
        <v>6</v>
      </c>
      <c r="C34" s="20" t="n">
        <v>0.0769230769230769</v>
      </c>
      <c r="D34" s="6" t="n">
        <f aca="false">INDEX(WBS_MD!$F$2:$F$174,MATCH(A34,WBS_MD!$A$2:$A$174,0))*C34</f>
        <v>634615.384615385</v>
      </c>
    </row>
    <row r="35" customFormat="false" ht="15" hidden="false" customHeight="false" outlineLevel="0" collapsed="false">
      <c r="A35" s="14" t="s">
        <v>102</v>
      </c>
      <c r="B35" s="14" t="n">
        <v>7</v>
      </c>
      <c r="C35" s="20" t="n">
        <v>0.0769230769230769</v>
      </c>
      <c r="D35" s="6" t="n">
        <f aca="false">INDEX(WBS_MD!$F$2:$F$174,MATCH(A35,WBS_MD!$A$2:$A$174,0))*C35</f>
        <v>634615.384615385</v>
      </c>
    </row>
    <row r="36" customFormat="false" ht="15" hidden="false" customHeight="false" outlineLevel="0" collapsed="false">
      <c r="A36" s="14" t="s">
        <v>102</v>
      </c>
      <c r="B36" s="14" t="n">
        <v>8</v>
      </c>
      <c r="C36" s="20" t="n">
        <v>0.0769230769230769</v>
      </c>
      <c r="D36" s="6" t="n">
        <f aca="false">INDEX(WBS_MD!$F$2:$F$174,MATCH(A36,WBS_MD!$A$2:$A$174,0))*C36</f>
        <v>634615.384615385</v>
      </c>
    </row>
    <row r="37" customFormat="false" ht="15" hidden="false" customHeight="false" outlineLevel="0" collapsed="false">
      <c r="A37" s="14" t="s">
        <v>102</v>
      </c>
      <c r="B37" s="14" t="n">
        <v>9</v>
      </c>
      <c r="C37" s="20" t="n">
        <v>0.0769230769230769</v>
      </c>
      <c r="D37" s="6" t="n">
        <f aca="false">INDEX(WBS_MD!$F$2:$F$174,MATCH(A37,WBS_MD!$A$2:$A$174,0))*C37</f>
        <v>634615.384615385</v>
      </c>
    </row>
    <row r="38" customFormat="false" ht="15" hidden="false" customHeight="false" outlineLevel="0" collapsed="false">
      <c r="A38" s="14" t="s">
        <v>102</v>
      </c>
      <c r="B38" s="14" t="n">
        <v>10</v>
      </c>
      <c r="C38" s="20" t="n">
        <v>0.0769230769230769</v>
      </c>
      <c r="D38" s="6" t="n">
        <f aca="false">INDEX(WBS_MD!$F$2:$F$174,MATCH(A38,WBS_MD!$A$2:$A$174,0))*C38</f>
        <v>634615.384615385</v>
      </c>
    </row>
    <row r="39" customFormat="false" ht="15" hidden="false" customHeight="false" outlineLevel="0" collapsed="false">
      <c r="A39" s="14" t="s">
        <v>102</v>
      </c>
      <c r="B39" s="14" t="n">
        <v>11</v>
      </c>
      <c r="C39" s="20" t="n">
        <v>0.0769230769230769</v>
      </c>
      <c r="D39" s="6" t="n">
        <f aca="false">INDEX(WBS_MD!$F$2:$F$174,MATCH(A39,WBS_MD!$A$2:$A$174,0))*C39</f>
        <v>634615.384615385</v>
      </c>
    </row>
    <row r="40" customFormat="false" ht="15" hidden="false" customHeight="false" outlineLevel="0" collapsed="false">
      <c r="A40" s="14" t="s">
        <v>102</v>
      </c>
      <c r="B40" s="14" t="n">
        <v>12</v>
      </c>
      <c r="C40" s="20" t="n">
        <v>0.0769230769230769</v>
      </c>
      <c r="D40" s="6" t="n">
        <f aca="false">INDEX(WBS_MD!$F$2:$F$174,MATCH(A40,WBS_MD!$A$2:$A$174,0))*C40</f>
        <v>634615.384615385</v>
      </c>
    </row>
    <row r="41" customFormat="false" ht="15" hidden="false" customHeight="false" outlineLevel="0" collapsed="false">
      <c r="A41" s="14" t="s">
        <v>102</v>
      </c>
      <c r="B41" s="14" t="n">
        <v>13</v>
      </c>
      <c r="C41" s="20" t="n">
        <v>0.0769230769230769</v>
      </c>
      <c r="D41" s="6" t="n">
        <f aca="false">INDEX(WBS_MD!$F$2:$F$174,MATCH(A41,WBS_MD!$A$2:$A$174,0))*C41</f>
        <v>634615.384615385</v>
      </c>
    </row>
    <row r="42" customFormat="false" ht="15" hidden="false" customHeight="false" outlineLevel="0" collapsed="false">
      <c r="A42" s="14" t="s">
        <v>104</v>
      </c>
      <c r="B42" s="14" t="n">
        <v>13</v>
      </c>
      <c r="C42" s="20" t="n">
        <v>1</v>
      </c>
      <c r="D42" s="6" t="n">
        <f aca="false">INDEX(WBS_MD!$F$2:$F$174,MATCH(A42,WBS_MD!$A$2:$A$174,0))*C42</f>
        <v>5500000</v>
      </c>
    </row>
    <row r="43" customFormat="false" ht="15" hidden="false" customHeight="false" outlineLevel="0" collapsed="false">
      <c r="A43" s="14" t="s">
        <v>106</v>
      </c>
      <c r="B43" s="14" t="n">
        <v>1</v>
      </c>
      <c r="C43" s="20" t="n">
        <v>1</v>
      </c>
      <c r="D43" s="6" t="n">
        <f aca="false">INDEX(WBS_MD!$F$2:$F$174,MATCH(A43,WBS_MD!$A$2:$A$174,0))*C43</f>
        <v>8600000</v>
      </c>
    </row>
    <row r="44" customFormat="false" ht="15" hidden="false" customHeight="false" outlineLevel="0" collapsed="false">
      <c r="A44" s="14" t="s">
        <v>108</v>
      </c>
      <c r="B44" s="14" t="n">
        <v>4</v>
      </c>
      <c r="C44" s="20" t="n">
        <v>1</v>
      </c>
      <c r="D44" s="6" t="n">
        <f aca="false">INDEX(WBS_MD!$F$2:$F$174,MATCH(A44,WBS_MD!$A$2:$A$174,0))*C44</f>
        <v>6450000</v>
      </c>
    </row>
    <row r="45" customFormat="false" ht="15" hidden="false" customHeight="false" outlineLevel="0" collapsed="false">
      <c r="A45" s="14" t="s">
        <v>110</v>
      </c>
      <c r="B45" s="14" t="n">
        <v>4</v>
      </c>
      <c r="C45" s="20" t="n">
        <v>1</v>
      </c>
      <c r="D45" s="6" t="n">
        <f aca="false">INDEX(WBS_MD!$F$2:$F$174,MATCH(A45,WBS_MD!$A$2:$A$174,0))*C45</f>
        <v>8400000</v>
      </c>
    </row>
    <row r="46" customFormat="false" ht="15" hidden="false" customHeight="false" outlineLevel="0" collapsed="false">
      <c r="A46" s="14" t="s">
        <v>112</v>
      </c>
      <c r="B46" s="14" t="n">
        <v>5</v>
      </c>
      <c r="C46" s="20" t="n">
        <v>0.333333333333333</v>
      </c>
      <c r="D46" s="6" t="n">
        <f aca="false">INDEX(WBS_MD!$F$2:$F$174,MATCH(A46,WBS_MD!$A$2:$A$174,0))*C46</f>
        <v>2800000</v>
      </c>
    </row>
    <row r="47" customFormat="false" ht="15" hidden="false" customHeight="false" outlineLevel="0" collapsed="false">
      <c r="A47" s="14" t="s">
        <v>112</v>
      </c>
      <c r="B47" s="14" t="n">
        <v>6</v>
      </c>
      <c r="C47" s="20" t="n">
        <v>0.333333333333333</v>
      </c>
      <c r="D47" s="6" t="n">
        <f aca="false">INDEX(WBS_MD!$F$2:$F$174,MATCH(A47,WBS_MD!$A$2:$A$174,0))*C47</f>
        <v>2800000</v>
      </c>
    </row>
    <row r="48" customFormat="false" ht="15" hidden="false" customHeight="false" outlineLevel="0" collapsed="false">
      <c r="A48" s="14" t="s">
        <v>112</v>
      </c>
      <c r="B48" s="14" t="n">
        <v>7</v>
      </c>
      <c r="C48" s="20" t="n">
        <v>0.333333333333333</v>
      </c>
      <c r="D48" s="6" t="n">
        <f aca="false">INDEX(WBS_MD!$F$2:$F$174,MATCH(A48,WBS_MD!$A$2:$A$174,0))*C48</f>
        <v>2800000</v>
      </c>
    </row>
    <row r="49" customFormat="false" ht="15" hidden="false" customHeight="false" outlineLevel="0" collapsed="false">
      <c r="A49" s="14" t="s">
        <v>114</v>
      </c>
      <c r="B49" s="14" t="n">
        <v>5</v>
      </c>
      <c r="C49" s="20" t="n">
        <v>1</v>
      </c>
      <c r="D49" s="6" t="n">
        <f aca="false">INDEX(WBS_MD!$F$2:$F$174,MATCH(A49,WBS_MD!$A$2:$A$174,0))*C49</f>
        <v>10750000</v>
      </c>
    </row>
    <row r="50" customFormat="false" ht="15" hidden="false" customHeight="false" outlineLevel="0" collapsed="false">
      <c r="A50" s="14" t="s">
        <v>116</v>
      </c>
      <c r="B50" s="14" t="n">
        <v>5</v>
      </c>
      <c r="C50" s="20" t="n">
        <v>1</v>
      </c>
      <c r="D50" s="6" t="n">
        <f aca="false">INDEX(WBS_MD!$F$2:$F$174,MATCH(A50,WBS_MD!$A$2:$A$174,0))*C50</f>
        <v>6450000</v>
      </c>
    </row>
    <row r="51" customFormat="false" ht="15" hidden="false" customHeight="false" outlineLevel="0" collapsed="false">
      <c r="A51" s="14" t="s">
        <v>118</v>
      </c>
      <c r="B51" s="14" t="n">
        <v>5</v>
      </c>
      <c r="C51" s="20" t="n">
        <v>1</v>
      </c>
      <c r="D51" s="6" t="n">
        <f aca="false">INDEX(WBS_MD!$F$2:$F$174,MATCH(A51,WBS_MD!$A$2:$A$174,0))*C51</f>
        <v>10500000</v>
      </c>
    </row>
    <row r="52" customFormat="false" ht="15" hidden="false" customHeight="false" outlineLevel="0" collapsed="false">
      <c r="A52" s="14" t="s">
        <v>120</v>
      </c>
      <c r="B52" s="14" t="n">
        <v>5</v>
      </c>
      <c r="C52" s="20" t="n">
        <v>1</v>
      </c>
      <c r="D52" s="6" t="n">
        <f aca="false">INDEX(WBS_MD!$F$2:$F$174,MATCH(A52,WBS_MD!$A$2:$A$174,0))*C52</f>
        <v>8400000</v>
      </c>
    </row>
    <row r="53" customFormat="false" ht="15" hidden="false" customHeight="false" outlineLevel="0" collapsed="false">
      <c r="A53" s="14" t="s">
        <v>122</v>
      </c>
      <c r="B53" s="14" t="n">
        <v>5</v>
      </c>
      <c r="C53" s="20" t="n">
        <v>1</v>
      </c>
      <c r="D53" s="6" t="n">
        <f aca="false">INDEX(WBS_MD!$F$2:$F$174,MATCH(A53,WBS_MD!$A$2:$A$174,0))*C53</f>
        <v>10500000</v>
      </c>
    </row>
    <row r="54" customFormat="false" ht="15" hidden="false" customHeight="false" outlineLevel="0" collapsed="false">
      <c r="A54" s="14" t="s">
        <v>124</v>
      </c>
      <c r="B54" s="14" t="n">
        <v>5</v>
      </c>
      <c r="C54" s="20" t="n">
        <v>1</v>
      </c>
      <c r="D54" s="6" t="n">
        <f aca="false">INDEX(WBS_MD!$F$2:$F$174,MATCH(A54,WBS_MD!$A$2:$A$174,0))*C54</f>
        <v>10500000</v>
      </c>
    </row>
    <row r="55" customFormat="false" ht="15" hidden="false" customHeight="false" outlineLevel="0" collapsed="false">
      <c r="A55" s="14" t="s">
        <v>126</v>
      </c>
      <c r="B55" s="14" t="n">
        <v>5</v>
      </c>
      <c r="C55" s="20" t="n">
        <v>1</v>
      </c>
      <c r="D55" s="6" t="n">
        <f aca="false">INDEX(WBS_MD!$F$2:$F$174,MATCH(A55,WBS_MD!$A$2:$A$174,0))*C55</f>
        <v>10500000</v>
      </c>
    </row>
    <row r="56" customFormat="false" ht="15" hidden="false" customHeight="false" outlineLevel="0" collapsed="false">
      <c r="A56" s="14" t="s">
        <v>128</v>
      </c>
      <c r="B56" s="14" t="n">
        <v>5</v>
      </c>
      <c r="C56" s="20" t="n">
        <v>1</v>
      </c>
      <c r="D56" s="6" t="n">
        <f aca="false">INDEX(WBS_MD!$F$2:$F$174,MATCH(A56,WBS_MD!$A$2:$A$174,0))*C56</f>
        <v>12600000</v>
      </c>
    </row>
    <row r="57" customFormat="false" ht="15" hidden="false" customHeight="false" outlineLevel="0" collapsed="false">
      <c r="A57" s="14" t="s">
        <v>130</v>
      </c>
      <c r="B57" s="14" t="n">
        <v>5</v>
      </c>
      <c r="C57" s="20" t="n">
        <v>1</v>
      </c>
      <c r="D57" s="6" t="n">
        <f aca="false">INDEX(WBS_MD!$F$2:$F$174,MATCH(A57,WBS_MD!$A$2:$A$174,0))*C57</f>
        <v>8400000</v>
      </c>
    </row>
    <row r="58" customFormat="false" ht="15" hidden="false" customHeight="false" outlineLevel="0" collapsed="false">
      <c r="A58" s="14" t="s">
        <v>132</v>
      </c>
      <c r="B58" s="14" t="n">
        <v>5</v>
      </c>
      <c r="C58" s="20" t="n">
        <v>1</v>
      </c>
      <c r="D58" s="6" t="n">
        <f aca="false">INDEX(WBS_MD!$F$2:$F$174,MATCH(A58,WBS_MD!$A$2:$A$174,0))*C58</f>
        <v>10500000</v>
      </c>
    </row>
    <row r="59" customFormat="false" ht="15" hidden="false" customHeight="false" outlineLevel="0" collapsed="false">
      <c r="A59" s="14" t="s">
        <v>134</v>
      </c>
      <c r="B59" s="14" t="n">
        <v>5</v>
      </c>
      <c r="C59" s="20" t="n">
        <v>1</v>
      </c>
      <c r="D59" s="6" t="n">
        <f aca="false">INDEX(WBS_MD!$F$2:$F$174,MATCH(A59,WBS_MD!$A$2:$A$174,0))*C59</f>
        <v>10500000</v>
      </c>
    </row>
    <row r="60" customFormat="false" ht="15" hidden="false" customHeight="false" outlineLevel="0" collapsed="false">
      <c r="A60" s="14" t="s">
        <v>136</v>
      </c>
      <c r="B60" s="14" t="n">
        <v>5</v>
      </c>
      <c r="C60" s="20" t="n">
        <v>1</v>
      </c>
      <c r="D60" s="6" t="n">
        <f aca="false">INDEX(WBS_MD!$F$2:$F$174,MATCH(A60,WBS_MD!$A$2:$A$174,0))*C60</f>
        <v>8400000</v>
      </c>
    </row>
    <row r="61" customFormat="false" ht="15" hidden="false" customHeight="false" outlineLevel="0" collapsed="false">
      <c r="A61" s="14" t="s">
        <v>138</v>
      </c>
      <c r="B61" s="14" t="n">
        <v>5</v>
      </c>
      <c r="C61" s="20" t="n">
        <v>1</v>
      </c>
      <c r="D61" s="6" t="n">
        <f aca="false">INDEX(WBS_MD!$F$2:$F$174,MATCH(A61,WBS_MD!$A$2:$A$174,0))*C61</f>
        <v>12000000</v>
      </c>
    </row>
    <row r="62" customFormat="false" ht="15" hidden="false" customHeight="false" outlineLevel="0" collapsed="false">
      <c r="A62" s="14" t="s">
        <v>140</v>
      </c>
      <c r="B62" s="14" t="n">
        <v>5</v>
      </c>
      <c r="C62" s="20" t="n">
        <v>1</v>
      </c>
      <c r="D62" s="6" t="n">
        <f aca="false">INDEX(WBS_MD!$F$2:$F$174,MATCH(A62,WBS_MD!$A$2:$A$174,0))*C62</f>
        <v>14000000</v>
      </c>
    </row>
    <row r="63" customFormat="false" ht="15" hidden="false" customHeight="false" outlineLevel="0" collapsed="false">
      <c r="A63" s="14" t="s">
        <v>142</v>
      </c>
      <c r="B63" s="14" t="n">
        <v>5</v>
      </c>
      <c r="C63" s="20" t="n">
        <v>1</v>
      </c>
      <c r="D63" s="6" t="n">
        <f aca="false">INDEX(WBS_MD!$F$2:$F$174,MATCH(A63,WBS_MD!$A$2:$A$174,0))*C63</f>
        <v>12000000</v>
      </c>
    </row>
    <row r="64" customFormat="false" ht="15" hidden="false" customHeight="false" outlineLevel="0" collapsed="false">
      <c r="A64" s="14" t="s">
        <v>144</v>
      </c>
      <c r="B64" s="14" t="n">
        <v>5</v>
      </c>
      <c r="C64" s="20" t="n">
        <v>1</v>
      </c>
      <c r="D64" s="6" t="n">
        <f aca="false">INDEX(WBS_MD!$F$2:$F$174,MATCH(A64,WBS_MD!$A$2:$A$174,0))*C64</f>
        <v>6300000</v>
      </c>
    </row>
    <row r="65" customFormat="false" ht="15" hidden="false" customHeight="false" outlineLevel="0" collapsed="false">
      <c r="A65" s="14" t="s">
        <v>146</v>
      </c>
      <c r="B65" s="14" t="n">
        <v>5</v>
      </c>
      <c r="C65" s="20" t="n">
        <v>1</v>
      </c>
      <c r="D65" s="6" t="n">
        <f aca="false">INDEX(WBS_MD!$F$2:$F$174,MATCH(A65,WBS_MD!$A$2:$A$174,0))*C65</f>
        <v>10000000</v>
      </c>
    </row>
    <row r="66" customFormat="false" ht="15" hidden="false" customHeight="false" outlineLevel="0" collapsed="false">
      <c r="A66" s="14" t="s">
        <v>148</v>
      </c>
      <c r="B66" s="14" t="n">
        <v>5</v>
      </c>
      <c r="C66" s="20" t="n">
        <v>1</v>
      </c>
      <c r="D66" s="6" t="n">
        <f aca="false">INDEX(WBS_MD!$F$2:$F$174,MATCH(A66,WBS_MD!$A$2:$A$174,0))*C66</f>
        <v>6300000</v>
      </c>
    </row>
    <row r="67" customFormat="false" ht="15" hidden="false" customHeight="false" outlineLevel="0" collapsed="false">
      <c r="A67" s="14" t="s">
        <v>150</v>
      </c>
      <c r="B67" s="14" t="n">
        <v>5</v>
      </c>
      <c r="C67" s="20" t="n">
        <v>1</v>
      </c>
      <c r="D67" s="6" t="n">
        <f aca="false">INDEX(WBS_MD!$F$2:$F$174,MATCH(A67,WBS_MD!$A$2:$A$174,0))*C67</f>
        <v>6450000</v>
      </c>
    </row>
    <row r="68" customFormat="false" ht="15" hidden="false" customHeight="false" outlineLevel="0" collapsed="false">
      <c r="A68" s="14" t="s">
        <v>152</v>
      </c>
      <c r="B68" s="14" t="n">
        <v>10</v>
      </c>
      <c r="C68" s="20" t="n">
        <v>1</v>
      </c>
      <c r="D68" s="6" t="n">
        <f aca="false">INDEX(WBS_MD!$F$2:$F$174,MATCH(A68,WBS_MD!$A$2:$A$174,0))*C68</f>
        <v>8000000</v>
      </c>
    </row>
    <row r="69" customFormat="false" ht="15" hidden="false" customHeight="false" outlineLevel="0" collapsed="false">
      <c r="A69" s="14" t="s">
        <v>154</v>
      </c>
      <c r="B69" s="14" t="n">
        <v>10</v>
      </c>
      <c r="C69" s="20" t="n">
        <v>1</v>
      </c>
      <c r="D69" s="6" t="n">
        <f aca="false">INDEX(WBS_MD!$F$2:$F$174,MATCH(A69,WBS_MD!$A$2:$A$174,0))*C69</f>
        <v>6000000</v>
      </c>
    </row>
    <row r="70" customFormat="false" ht="15" hidden="false" customHeight="false" outlineLevel="0" collapsed="false">
      <c r="A70" s="14" t="s">
        <v>156</v>
      </c>
      <c r="B70" s="14" t="n">
        <v>10</v>
      </c>
      <c r="C70" s="20" t="n">
        <v>1</v>
      </c>
      <c r="D70" s="6" t="n">
        <f aca="false">INDEX(WBS_MD!$F$2:$F$174,MATCH(A70,WBS_MD!$A$2:$A$174,0))*C70</f>
        <v>8400000</v>
      </c>
    </row>
    <row r="71" customFormat="false" ht="15" hidden="false" customHeight="false" outlineLevel="0" collapsed="false">
      <c r="A71" s="14" t="s">
        <v>158</v>
      </c>
      <c r="B71" s="14" t="n">
        <v>11</v>
      </c>
      <c r="C71" s="20" t="n">
        <v>1</v>
      </c>
      <c r="D71" s="6" t="n">
        <f aca="false">INDEX(WBS_MD!$F$2:$F$174,MATCH(A71,WBS_MD!$A$2:$A$174,0))*C71</f>
        <v>8000000</v>
      </c>
    </row>
    <row r="72" customFormat="false" ht="15" hidden="false" customHeight="false" outlineLevel="0" collapsed="false">
      <c r="A72" s="14" t="s">
        <v>160</v>
      </c>
      <c r="B72" s="14" t="n">
        <v>11</v>
      </c>
      <c r="C72" s="20" t="n">
        <v>1</v>
      </c>
      <c r="D72" s="6" t="n">
        <f aca="false">INDEX(WBS_MD!$F$2:$F$174,MATCH(A72,WBS_MD!$A$2:$A$174,0))*C72</f>
        <v>12600000</v>
      </c>
    </row>
    <row r="73" customFormat="false" ht="15" hidden="false" customHeight="false" outlineLevel="0" collapsed="false">
      <c r="A73" s="14" t="s">
        <v>162</v>
      </c>
      <c r="B73" s="14" t="n">
        <v>5</v>
      </c>
      <c r="C73" s="20" t="n">
        <v>0.2</v>
      </c>
      <c r="D73" s="6" t="n">
        <f aca="false">INDEX(WBS_MD!$F$2:$F$174,MATCH(A73,WBS_MD!$A$2:$A$174,0))*C73</f>
        <v>3120000</v>
      </c>
    </row>
    <row r="74" customFormat="false" ht="15" hidden="false" customHeight="false" outlineLevel="0" collapsed="false">
      <c r="A74" s="14" t="s">
        <v>162</v>
      </c>
      <c r="B74" s="14" t="n">
        <v>6</v>
      </c>
      <c r="C74" s="20" t="n">
        <v>0.2</v>
      </c>
      <c r="D74" s="6" t="n">
        <f aca="false">INDEX(WBS_MD!$F$2:$F$174,MATCH(A74,WBS_MD!$A$2:$A$174,0))*C74</f>
        <v>3120000</v>
      </c>
    </row>
    <row r="75" customFormat="false" ht="15" hidden="false" customHeight="false" outlineLevel="0" collapsed="false">
      <c r="A75" s="14" t="s">
        <v>162</v>
      </c>
      <c r="B75" s="14" t="n">
        <v>7</v>
      </c>
      <c r="C75" s="20" t="n">
        <v>0.2</v>
      </c>
      <c r="D75" s="6" t="n">
        <f aca="false">INDEX(WBS_MD!$F$2:$F$174,MATCH(A75,WBS_MD!$A$2:$A$174,0))*C75</f>
        <v>3120000</v>
      </c>
    </row>
    <row r="76" customFormat="false" ht="15" hidden="false" customHeight="false" outlineLevel="0" collapsed="false">
      <c r="A76" s="14" t="s">
        <v>162</v>
      </c>
      <c r="B76" s="14" t="n">
        <v>8</v>
      </c>
      <c r="C76" s="20" t="n">
        <v>0.2</v>
      </c>
      <c r="D76" s="6" t="n">
        <f aca="false">INDEX(WBS_MD!$F$2:$F$174,MATCH(A76,WBS_MD!$A$2:$A$174,0))*C76</f>
        <v>3120000</v>
      </c>
    </row>
    <row r="77" customFormat="false" ht="15" hidden="false" customHeight="false" outlineLevel="0" collapsed="false">
      <c r="A77" s="14" t="s">
        <v>162</v>
      </c>
      <c r="B77" s="14" t="n">
        <v>9</v>
      </c>
      <c r="C77" s="20" t="n">
        <v>0.2</v>
      </c>
      <c r="D77" s="6" t="n">
        <f aca="false">INDEX(WBS_MD!$F$2:$F$174,MATCH(A77,WBS_MD!$A$2:$A$174,0))*C77</f>
        <v>3120000</v>
      </c>
    </row>
    <row r="78" customFormat="false" ht="15" hidden="false" customHeight="false" outlineLevel="0" collapsed="false">
      <c r="A78" s="14" t="s">
        <v>164</v>
      </c>
      <c r="B78" s="14" t="n">
        <v>13</v>
      </c>
      <c r="C78" s="20" t="n">
        <v>1</v>
      </c>
      <c r="D78" s="6" t="n">
        <f aca="false">INDEX(WBS_MD!$F$2:$F$174,MATCH(A78,WBS_MD!$A$2:$A$174,0))*C78</f>
        <v>5200000</v>
      </c>
    </row>
    <row r="79" customFormat="false" ht="15" hidden="false" customHeight="false" outlineLevel="0" collapsed="false">
      <c r="A79" s="14" t="s">
        <v>166</v>
      </c>
      <c r="B79" s="14" t="n">
        <v>12</v>
      </c>
      <c r="C79" s="20" t="n">
        <v>1</v>
      </c>
      <c r="D79" s="6" t="n">
        <f aca="false">INDEX(WBS_MD!$F$2:$F$174,MATCH(A79,WBS_MD!$A$2:$A$174,0))*C79</f>
        <v>8400000</v>
      </c>
    </row>
    <row r="80" customFormat="false" ht="15" hidden="false" customHeight="false" outlineLevel="0" collapsed="false">
      <c r="A80" s="14" t="s">
        <v>168</v>
      </c>
      <c r="B80" s="14" t="n">
        <v>1</v>
      </c>
      <c r="C80" s="20" t="n">
        <v>1</v>
      </c>
      <c r="D80" s="6" t="n">
        <f aca="false">INDEX(WBS_MD!$F$2:$F$174,MATCH(A80,WBS_MD!$A$2:$A$174,0))*C80</f>
        <v>6000000</v>
      </c>
    </row>
    <row r="81" customFormat="false" ht="15" hidden="false" customHeight="false" outlineLevel="0" collapsed="false">
      <c r="A81" s="14" t="s">
        <v>171</v>
      </c>
      <c r="B81" s="14" t="n">
        <v>1</v>
      </c>
      <c r="C81" s="20" t="n">
        <v>0.0769230769230769</v>
      </c>
      <c r="D81" s="6" t="n">
        <f aca="false">INDEX(WBS_MD!$F$2:$F$174,MATCH(A81,WBS_MD!$A$2:$A$174,0))*C81</f>
        <v>846153.846153846</v>
      </c>
    </row>
    <row r="82" customFormat="false" ht="15" hidden="false" customHeight="false" outlineLevel="0" collapsed="false">
      <c r="A82" s="14" t="s">
        <v>171</v>
      </c>
      <c r="B82" s="14" t="n">
        <v>2</v>
      </c>
      <c r="C82" s="20" t="n">
        <v>0.0769230769230769</v>
      </c>
      <c r="D82" s="6" t="n">
        <f aca="false">INDEX(WBS_MD!$F$2:$F$174,MATCH(A82,WBS_MD!$A$2:$A$174,0))*C82</f>
        <v>846153.846153846</v>
      </c>
    </row>
    <row r="83" customFormat="false" ht="15" hidden="false" customHeight="false" outlineLevel="0" collapsed="false">
      <c r="A83" s="14" t="s">
        <v>171</v>
      </c>
      <c r="B83" s="14" t="n">
        <v>3</v>
      </c>
      <c r="C83" s="20" t="n">
        <v>0.0769230769230769</v>
      </c>
      <c r="D83" s="6" t="n">
        <f aca="false">INDEX(WBS_MD!$F$2:$F$174,MATCH(A83,WBS_MD!$A$2:$A$174,0))*C83</f>
        <v>846153.846153846</v>
      </c>
    </row>
    <row r="84" customFormat="false" ht="15" hidden="false" customHeight="false" outlineLevel="0" collapsed="false">
      <c r="A84" s="14" t="s">
        <v>171</v>
      </c>
      <c r="B84" s="14" t="n">
        <v>4</v>
      </c>
      <c r="C84" s="20" t="n">
        <v>0.0769230769230769</v>
      </c>
      <c r="D84" s="6" t="n">
        <f aca="false">INDEX(WBS_MD!$F$2:$F$174,MATCH(A84,WBS_MD!$A$2:$A$174,0))*C84</f>
        <v>846153.846153846</v>
      </c>
    </row>
    <row r="85" customFormat="false" ht="15" hidden="false" customHeight="false" outlineLevel="0" collapsed="false">
      <c r="A85" s="14" t="s">
        <v>171</v>
      </c>
      <c r="B85" s="14" t="n">
        <v>5</v>
      </c>
      <c r="C85" s="20" t="n">
        <v>0.0769230769230769</v>
      </c>
      <c r="D85" s="6" t="n">
        <f aca="false">INDEX(WBS_MD!$F$2:$F$174,MATCH(A85,WBS_MD!$A$2:$A$174,0))*C85</f>
        <v>846153.846153846</v>
      </c>
    </row>
    <row r="86" customFormat="false" ht="15" hidden="false" customHeight="false" outlineLevel="0" collapsed="false">
      <c r="A86" s="14" t="s">
        <v>171</v>
      </c>
      <c r="B86" s="14" t="n">
        <v>6</v>
      </c>
      <c r="C86" s="20" t="n">
        <v>0.0769230769230769</v>
      </c>
      <c r="D86" s="6" t="n">
        <f aca="false">INDEX(WBS_MD!$F$2:$F$174,MATCH(A86,WBS_MD!$A$2:$A$174,0))*C86</f>
        <v>846153.846153846</v>
      </c>
    </row>
    <row r="87" customFormat="false" ht="15" hidden="false" customHeight="false" outlineLevel="0" collapsed="false">
      <c r="A87" s="14" t="s">
        <v>171</v>
      </c>
      <c r="B87" s="14" t="n">
        <v>7</v>
      </c>
      <c r="C87" s="20" t="n">
        <v>0.0769230769230769</v>
      </c>
      <c r="D87" s="6" t="n">
        <f aca="false">INDEX(WBS_MD!$F$2:$F$174,MATCH(A87,WBS_MD!$A$2:$A$174,0))*C87</f>
        <v>846153.846153846</v>
      </c>
    </row>
    <row r="88" customFormat="false" ht="15" hidden="false" customHeight="false" outlineLevel="0" collapsed="false">
      <c r="A88" s="14" t="s">
        <v>171</v>
      </c>
      <c r="B88" s="14" t="n">
        <v>8</v>
      </c>
      <c r="C88" s="20" t="n">
        <v>0.0769230769230769</v>
      </c>
      <c r="D88" s="6" t="n">
        <f aca="false">INDEX(WBS_MD!$F$2:$F$174,MATCH(A88,WBS_MD!$A$2:$A$174,0))*C88</f>
        <v>846153.846153846</v>
      </c>
    </row>
    <row r="89" customFormat="false" ht="15" hidden="false" customHeight="false" outlineLevel="0" collapsed="false">
      <c r="A89" s="14" t="s">
        <v>171</v>
      </c>
      <c r="B89" s="14" t="n">
        <v>9</v>
      </c>
      <c r="C89" s="20" t="n">
        <v>0.0769230769230769</v>
      </c>
      <c r="D89" s="6" t="n">
        <f aca="false">INDEX(WBS_MD!$F$2:$F$174,MATCH(A89,WBS_MD!$A$2:$A$174,0))*C89</f>
        <v>846153.846153846</v>
      </c>
    </row>
    <row r="90" customFormat="false" ht="15" hidden="false" customHeight="false" outlineLevel="0" collapsed="false">
      <c r="A90" s="14" t="s">
        <v>171</v>
      </c>
      <c r="B90" s="14" t="n">
        <v>10</v>
      </c>
      <c r="C90" s="20" t="n">
        <v>0.0769230769230769</v>
      </c>
      <c r="D90" s="6" t="n">
        <f aca="false">INDEX(WBS_MD!$F$2:$F$174,MATCH(A90,WBS_MD!$A$2:$A$174,0))*C90</f>
        <v>846153.846153846</v>
      </c>
    </row>
    <row r="91" customFormat="false" ht="15" hidden="false" customHeight="false" outlineLevel="0" collapsed="false">
      <c r="A91" s="14" t="s">
        <v>171</v>
      </c>
      <c r="B91" s="14" t="n">
        <v>11</v>
      </c>
      <c r="C91" s="20" t="n">
        <v>0.0769230769230769</v>
      </c>
      <c r="D91" s="6" t="n">
        <f aca="false">INDEX(WBS_MD!$F$2:$F$174,MATCH(A91,WBS_MD!$A$2:$A$174,0))*C91</f>
        <v>846153.846153846</v>
      </c>
    </row>
    <row r="92" customFormat="false" ht="15" hidden="false" customHeight="false" outlineLevel="0" collapsed="false">
      <c r="A92" s="14" t="s">
        <v>171</v>
      </c>
      <c r="B92" s="14" t="n">
        <v>12</v>
      </c>
      <c r="C92" s="20" t="n">
        <v>0.0769230769230769</v>
      </c>
      <c r="D92" s="6" t="n">
        <f aca="false">INDEX(WBS_MD!$F$2:$F$174,MATCH(A92,WBS_MD!$A$2:$A$174,0))*C92</f>
        <v>846153.846153846</v>
      </c>
    </row>
    <row r="93" customFormat="false" ht="15" hidden="false" customHeight="false" outlineLevel="0" collapsed="false">
      <c r="A93" s="14" t="s">
        <v>171</v>
      </c>
      <c r="B93" s="14" t="n">
        <v>13</v>
      </c>
      <c r="C93" s="20" t="n">
        <v>0.0769230769230769</v>
      </c>
      <c r="D93" s="6" t="n">
        <f aca="false">INDEX(WBS_MD!$F$2:$F$174,MATCH(A93,WBS_MD!$A$2:$A$174,0))*C93</f>
        <v>846153.846153846</v>
      </c>
    </row>
    <row r="94" customFormat="false" ht="15" hidden="false" customHeight="false" outlineLevel="0" collapsed="false">
      <c r="A94" s="14" t="s">
        <v>173</v>
      </c>
      <c r="B94" s="14" t="n">
        <v>1</v>
      </c>
      <c r="C94" s="20" t="n">
        <v>0.0769230769230769</v>
      </c>
      <c r="D94" s="6" t="n">
        <f aca="false">INDEX(WBS_MD!$F$2:$F$174,MATCH(A94,WBS_MD!$A$2:$A$174,0))*C94</f>
        <v>634615.384615385</v>
      </c>
    </row>
    <row r="95" customFormat="false" ht="15" hidden="false" customHeight="false" outlineLevel="0" collapsed="false">
      <c r="A95" s="14" t="s">
        <v>173</v>
      </c>
      <c r="B95" s="14" t="n">
        <v>2</v>
      </c>
      <c r="C95" s="20" t="n">
        <v>0.0769230769230769</v>
      </c>
      <c r="D95" s="6" t="n">
        <f aca="false">INDEX(WBS_MD!$F$2:$F$174,MATCH(A95,WBS_MD!$A$2:$A$174,0))*C95</f>
        <v>634615.384615385</v>
      </c>
    </row>
    <row r="96" customFormat="false" ht="15" hidden="false" customHeight="false" outlineLevel="0" collapsed="false">
      <c r="A96" s="14" t="s">
        <v>173</v>
      </c>
      <c r="B96" s="14" t="n">
        <v>3</v>
      </c>
      <c r="C96" s="20" t="n">
        <v>0.0769230769230769</v>
      </c>
      <c r="D96" s="6" t="n">
        <f aca="false">INDEX(WBS_MD!$F$2:$F$174,MATCH(A96,WBS_MD!$A$2:$A$174,0))*C96</f>
        <v>634615.384615385</v>
      </c>
    </row>
    <row r="97" customFormat="false" ht="15" hidden="false" customHeight="false" outlineLevel="0" collapsed="false">
      <c r="A97" s="14" t="s">
        <v>173</v>
      </c>
      <c r="B97" s="14" t="n">
        <v>4</v>
      </c>
      <c r="C97" s="20" t="n">
        <v>0.0769230769230769</v>
      </c>
      <c r="D97" s="6" t="n">
        <f aca="false">INDEX(WBS_MD!$F$2:$F$174,MATCH(A97,WBS_MD!$A$2:$A$174,0))*C97</f>
        <v>634615.384615385</v>
      </c>
    </row>
    <row r="98" customFormat="false" ht="15" hidden="false" customHeight="false" outlineLevel="0" collapsed="false">
      <c r="A98" s="14" t="s">
        <v>173</v>
      </c>
      <c r="B98" s="14" t="n">
        <v>5</v>
      </c>
      <c r="C98" s="20" t="n">
        <v>0.0769230769230769</v>
      </c>
      <c r="D98" s="6" t="n">
        <f aca="false">INDEX(WBS_MD!$F$2:$F$174,MATCH(A98,WBS_MD!$A$2:$A$174,0))*C98</f>
        <v>634615.384615385</v>
      </c>
    </row>
    <row r="99" customFormat="false" ht="15" hidden="false" customHeight="false" outlineLevel="0" collapsed="false">
      <c r="A99" s="14" t="s">
        <v>173</v>
      </c>
      <c r="B99" s="14" t="n">
        <v>6</v>
      </c>
      <c r="C99" s="20" t="n">
        <v>0.0769230769230769</v>
      </c>
      <c r="D99" s="6" t="n">
        <f aca="false">INDEX(WBS_MD!$F$2:$F$174,MATCH(A99,WBS_MD!$A$2:$A$174,0))*C99</f>
        <v>634615.384615385</v>
      </c>
    </row>
    <row r="100" customFormat="false" ht="15" hidden="false" customHeight="false" outlineLevel="0" collapsed="false">
      <c r="A100" s="14" t="s">
        <v>173</v>
      </c>
      <c r="B100" s="14" t="n">
        <v>7</v>
      </c>
      <c r="C100" s="20" t="n">
        <v>0.0769230769230769</v>
      </c>
      <c r="D100" s="6" t="n">
        <f aca="false">INDEX(WBS_MD!$F$2:$F$174,MATCH(A100,WBS_MD!$A$2:$A$174,0))*C100</f>
        <v>634615.384615385</v>
      </c>
    </row>
    <row r="101" customFormat="false" ht="15" hidden="false" customHeight="false" outlineLevel="0" collapsed="false">
      <c r="A101" s="14" t="s">
        <v>173</v>
      </c>
      <c r="B101" s="14" t="n">
        <v>8</v>
      </c>
      <c r="C101" s="20" t="n">
        <v>0.0769230769230769</v>
      </c>
      <c r="D101" s="6" t="n">
        <f aca="false">INDEX(WBS_MD!$F$2:$F$174,MATCH(A101,WBS_MD!$A$2:$A$174,0))*C101</f>
        <v>634615.384615385</v>
      </c>
    </row>
    <row r="102" customFormat="false" ht="15" hidden="false" customHeight="false" outlineLevel="0" collapsed="false">
      <c r="A102" s="14" t="s">
        <v>173</v>
      </c>
      <c r="B102" s="14" t="n">
        <v>9</v>
      </c>
      <c r="C102" s="20" t="n">
        <v>0.0769230769230769</v>
      </c>
      <c r="D102" s="6" t="n">
        <f aca="false">INDEX(WBS_MD!$F$2:$F$174,MATCH(A102,WBS_MD!$A$2:$A$174,0))*C102</f>
        <v>634615.384615385</v>
      </c>
    </row>
    <row r="103" customFormat="false" ht="15" hidden="false" customHeight="false" outlineLevel="0" collapsed="false">
      <c r="A103" s="14" t="s">
        <v>173</v>
      </c>
      <c r="B103" s="14" t="n">
        <v>10</v>
      </c>
      <c r="C103" s="20" t="n">
        <v>0.0769230769230769</v>
      </c>
      <c r="D103" s="6" t="n">
        <f aca="false">INDEX(WBS_MD!$F$2:$F$174,MATCH(A103,WBS_MD!$A$2:$A$174,0))*C103</f>
        <v>634615.384615385</v>
      </c>
    </row>
    <row r="104" customFormat="false" ht="15" hidden="false" customHeight="false" outlineLevel="0" collapsed="false">
      <c r="A104" s="14" t="s">
        <v>173</v>
      </c>
      <c r="B104" s="14" t="n">
        <v>11</v>
      </c>
      <c r="C104" s="20" t="n">
        <v>0.0769230769230769</v>
      </c>
      <c r="D104" s="6" t="n">
        <f aca="false">INDEX(WBS_MD!$F$2:$F$174,MATCH(A104,WBS_MD!$A$2:$A$174,0))*C104</f>
        <v>634615.384615385</v>
      </c>
    </row>
    <row r="105" customFormat="false" ht="15" hidden="false" customHeight="false" outlineLevel="0" collapsed="false">
      <c r="A105" s="14" t="s">
        <v>173</v>
      </c>
      <c r="B105" s="14" t="n">
        <v>12</v>
      </c>
      <c r="C105" s="20" t="n">
        <v>0.0769230769230769</v>
      </c>
      <c r="D105" s="6" t="n">
        <f aca="false">INDEX(WBS_MD!$F$2:$F$174,MATCH(A105,WBS_MD!$A$2:$A$174,0))*C105</f>
        <v>634615.384615385</v>
      </c>
    </row>
    <row r="106" customFormat="false" ht="15" hidden="false" customHeight="false" outlineLevel="0" collapsed="false">
      <c r="A106" s="14" t="s">
        <v>173</v>
      </c>
      <c r="B106" s="14" t="n">
        <v>13</v>
      </c>
      <c r="C106" s="20" t="n">
        <v>0.0769230769230769</v>
      </c>
      <c r="D106" s="6" t="n">
        <f aca="false">INDEX(WBS_MD!$F$2:$F$174,MATCH(A106,WBS_MD!$A$2:$A$174,0))*C106</f>
        <v>634615.384615385</v>
      </c>
    </row>
    <row r="107" customFormat="false" ht="15" hidden="false" customHeight="false" outlineLevel="0" collapsed="false">
      <c r="A107" s="14" t="s">
        <v>175</v>
      </c>
      <c r="B107" s="14" t="n">
        <v>1</v>
      </c>
      <c r="C107" s="20" t="n">
        <v>0.0769230769230769</v>
      </c>
      <c r="D107" s="6" t="n">
        <f aca="false">INDEX(WBS_MD!$F$2:$F$174,MATCH(A107,WBS_MD!$A$2:$A$174,0))*C107</f>
        <v>740384.615384615</v>
      </c>
    </row>
    <row r="108" customFormat="false" ht="15" hidden="false" customHeight="false" outlineLevel="0" collapsed="false">
      <c r="A108" s="14" t="s">
        <v>175</v>
      </c>
      <c r="B108" s="14" t="n">
        <v>2</v>
      </c>
      <c r="C108" s="20" t="n">
        <v>0.0769230769230769</v>
      </c>
      <c r="D108" s="6" t="n">
        <f aca="false">INDEX(WBS_MD!$F$2:$F$174,MATCH(A108,WBS_MD!$A$2:$A$174,0))*C108</f>
        <v>740384.615384615</v>
      </c>
    </row>
    <row r="109" customFormat="false" ht="15" hidden="false" customHeight="false" outlineLevel="0" collapsed="false">
      <c r="A109" s="14" t="s">
        <v>175</v>
      </c>
      <c r="B109" s="14" t="n">
        <v>3</v>
      </c>
      <c r="C109" s="20" t="n">
        <v>0.0769230769230769</v>
      </c>
      <c r="D109" s="6" t="n">
        <f aca="false">INDEX(WBS_MD!$F$2:$F$174,MATCH(A109,WBS_MD!$A$2:$A$174,0))*C109</f>
        <v>740384.615384615</v>
      </c>
    </row>
    <row r="110" customFormat="false" ht="15" hidden="false" customHeight="false" outlineLevel="0" collapsed="false">
      <c r="A110" s="14" t="s">
        <v>175</v>
      </c>
      <c r="B110" s="14" t="n">
        <v>4</v>
      </c>
      <c r="C110" s="20" t="n">
        <v>0.0769230769230769</v>
      </c>
      <c r="D110" s="6" t="n">
        <f aca="false">INDEX(WBS_MD!$F$2:$F$174,MATCH(A110,WBS_MD!$A$2:$A$174,0))*C110</f>
        <v>740384.615384615</v>
      </c>
    </row>
    <row r="111" customFormat="false" ht="15" hidden="false" customHeight="false" outlineLevel="0" collapsed="false">
      <c r="A111" s="14" t="s">
        <v>175</v>
      </c>
      <c r="B111" s="14" t="n">
        <v>5</v>
      </c>
      <c r="C111" s="20" t="n">
        <v>0.0769230769230769</v>
      </c>
      <c r="D111" s="6" t="n">
        <f aca="false">INDEX(WBS_MD!$F$2:$F$174,MATCH(A111,WBS_MD!$A$2:$A$174,0))*C111</f>
        <v>740384.615384615</v>
      </c>
    </row>
    <row r="112" customFormat="false" ht="15" hidden="false" customHeight="false" outlineLevel="0" collapsed="false">
      <c r="A112" s="14" t="s">
        <v>175</v>
      </c>
      <c r="B112" s="14" t="n">
        <v>6</v>
      </c>
      <c r="C112" s="20" t="n">
        <v>0.0769230769230769</v>
      </c>
      <c r="D112" s="6" t="n">
        <f aca="false">INDEX(WBS_MD!$F$2:$F$174,MATCH(A112,WBS_MD!$A$2:$A$174,0))*C112</f>
        <v>740384.615384615</v>
      </c>
    </row>
    <row r="113" customFormat="false" ht="15" hidden="false" customHeight="false" outlineLevel="0" collapsed="false">
      <c r="A113" s="14" t="s">
        <v>175</v>
      </c>
      <c r="B113" s="14" t="n">
        <v>7</v>
      </c>
      <c r="C113" s="20" t="n">
        <v>0.0769230769230769</v>
      </c>
      <c r="D113" s="6" t="n">
        <f aca="false">INDEX(WBS_MD!$F$2:$F$174,MATCH(A113,WBS_MD!$A$2:$A$174,0))*C113</f>
        <v>740384.615384615</v>
      </c>
    </row>
    <row r="114" customFormat="false" ht="15" hidden="false" customHeight="false" outlineLevel="0" collapsed="false">
      <c r="A114" s="14" t="s">
        <v>175</v>
      </c>
      <c r="B114" s="14" t="n">
        <v>8</v>
      </c>
      <c r="C114" s="20" t="n">
        <v>0.0769230769230769</v>
      </c>
      <c r="D114" s="6" t="n">
        <f aca="false">INDEX(WBS_MD!$F$2:$F$174,MATCH(A114,WBS_MD!$A$2:$A$174,0))*C114</f>
        <v>740384.615384615</v>
      </c>
    </row>
    <row r="115" customFormat="false" ht="15" hidden="false" customHeight="false" outlineLevel="0" collapsed="false">
      <c r="A115" s="14" t="s">
        <v>175</v>
      </c>
      <c r="B115" s="14" t="n">
        <v>9</v>
      </c>
      <c r="C115" s="20" t="n">
        <v>0.0769230769230769</v>
      </c>
      <c r="D115" s="6" t="n">
        <f aca="false">INDEX(WBS_MD!$F$2:$F$174,MATCH(A115,WBS_MD!$A$2:$A$174,0))*C115</f>
        <v>740384.615384615</v>
      </c>
    </row>
    <row r="116" customFormat="false" ht="15" hidden="false" customHeight="false" outlineLevel="0" collapsed="false">
      <c r="A116" s="14" t="s">
        <v>175</v>
      </c>
      <c r="B116" s="14" t="n">
        <v>10</v>
      </c>
      <c r="C116" s="20" t="n">
        <v>0.0769230769230769</v>
      </c>
      <c r="D116" s="6" t="n">
        <f aca="false">INDEX(WBS_MD!$F$2:$F$174,MATCH(A116,WBS_MD!$A$2:$A$174,0))*C116</f>
        <v>740384.615384615</v>
      </c>
    </row>
    <row r="117" customFormat="false" ht="15" hidden="false" customHeight="false" outlineLevel="0" collapsed="false">
      <c r="A117" s="14" t="s">
        <v>175</v>
      </c>
      <c r="B117" s="14" t="n">
        <v>11</v>
      </c>
      <c r="C117" s="20" t="n">
        <v>0.0769230769230769</v>
      </c>
      <c r="D117" s="6" t="n">
        <f aca="false">INDEX(WBS_MD!$F$2:$F$174,MATCH(A117,WBS_MD!$A$2:$A$174,0))*C117</f>
        <v>740384.615384615</v>
      </c>
    </row>
    <row r="118" customFormat="false" ht="15" hidden="false" customHeight="false" outlineLevel="0" collapsed="false">
      <c r="A118" s="14" t="s">
        <v>175</v>
      </c>
      <c r="B118" s="14" t="n">
        <v>12</v>
      </c>
      <c r="C118" s="20" t="n">
        <v>0.0769230769230769</v>
      </c>
      <c r="D118" s="6" t="n">
        <f aca="false">INDEX(WBS_MD!$F$2:$F$174,MATCH(A118,WBS_MD!$A$2:$A$174,0))*C118</f>
        <v>740384.615384615</v>
      </c>
    </row>
    <row r="119" customFormat="false" ht="15" hidden="false" customHeight="false" outlineLevel="0" collapsed="false">
      <c r="A119" s="14" t="s">
        <v>175</v>
      </c>
      <c r="B119" s="14" t="n">
        <v>13</v>
      </c>
      <c r="C119" s="20" t="n">
        <v>0.0769230769230769</v>
      </c>
      <c r="D119" s="6" t="n">
        <f aca="false">INDEX(WBS_MD!$F$2:$F$174,MATCH(A119,WBS_MD!$A$2:$A$174,0))*C119</f>
        <v>740384.615384615</v>
      </c>
    </row>
    <row r="120" customFormat="false" ht="15" hidden="false" customHeight="false" outlineLevel="0" collapsed="false">
      <c r="A120" s="14" t="s">
        <v>177</v>
      </c>
      <c r="B120" s="14" t="n">
        <v>1</v>
      </c>
      <c r="C120" s="20" t="n">
        <v>1</v>
      </c>
      <c r="D120" s="6" t="n">
        <f aca="false">INDEX(WBS_MD!$F$2:$F$174,MATCH(A120,WBS_MD!$A$2:$A$174,0))*C120</f>
        <v>6450000</v>
      </c>
    </row>
    <row r="121" customFormat="false" ht="15" hidden="false" customHeight="false" outlineLevel="0" collapsed="false">
      <c r="A121" s="14" t="s">
        <v>179</v>
      </c>
      <c r="B121" s="14" t="n">
        <v>1</v>
      </c>
      <c r="C121" s="20" t="n">
        <v>1</v>
      </c>
      <c r="D121" s="6" t="n">
        <f aca="false">INDEX(WBS_MD!$F$2:$F$174,MATCH(A121,WBS_MD!$A$2:$A$174,0))*C121</f>
        <v>6450000</v>
      </c>
    </row>
    <row r="122" customFormat="false" ht="15" hidden="false" customHeight="false" outlineLevel="0" collapsed="false">
      <c r="A122" s="14" t="s">
        <v>181</v>
      </c>
      <c r="B122" s="14" t="n">
        <v>4</v>
      </c>
      <c r="C122" s="20" t="n">
        <v>1</v>
      </c>
      <c r="D122" s="6" t="n">
        <f aca="false">INDEX(WBS_MD!$F$2:$F$174,MATCH(A122,WBS_MD!$A$2:$A$174,0))*C122</f>
        <v>6300000</v>
      </c>
    </row>
    <row r="123" customFormat="false" ht="15" hidden="false" customHeight="false" outlineLevel="0" collapsed="false">
      <c r="A123" s="14" t="s">
        <v>183</v>
      </c>
      <c r="B123" s="14" t="n">
        <v>4</v>
      </c>
      <c r="C123" s="20" t="n">
        <v>1</v>
      </c>
      <c r="D123" s="6" t="n">
        <f aca="false">INDEX(WBS_MD!$F$2:$F$174,MATCH(A123,WBS_MD!$A$2:$A$174,0))*C123</f>
        <v>6300000</v>
      </c>
    </row>
    <row r="124" customFormat="false" ht="15" hidden="false" customHeight="false" outlineLevel="0" collapsed="false">
      <c r="A124" s="14" t="s">
        <v>185</v>
      </c>
      <c r="B124" s="14" t="n">
        <v>6</v>
      </c>
      <c r="C124" s="20" t="n">
        <v>1</v>
      </c>
      <c r="D124" s="6" t="n">
        <f aca="false">INDEX(WBS_MD!$F$2:$F$174,MATCH(A124,WBS_MD!$A$2:$A$174,0))*C124</f>
        <v>10750000</v>
      </c>
    </row>
    <row r="125" customFormat="false" ht="15" hidden="false" customHeight="false" outlineLevel="0" collapsed="false">
      <c r="A125" s="14" t="s">
        <v>187</v>
      </c>
      <c r="B125" s="14" t="n">
        <v>6</v>
      </c>
      <c r="C125" s="20" t="n">
        <v>1</v>
      </c>
      <c r="D125" s="6" t="n">
        <f aca="false">INDEX(WBS_MD!$F$2:$F$174,MATCH(A125,WBS_MD!$A$2:$A$174,0))*C125</f>
        <v>6450000</v>
      </c>
    </row>
    <row r="126" customFormat="false" ht="15" hidden="false" customHeight="false" outlineLevel="0" collapsed="false">
      <c r="A126" s="14" t="s">
        <v>189</v>
      </c>
      <c r="B126" s="14" t="n">
        <v>6</v>
      </c>
      <c r="C126" s="20" t="n">
        <v>1</v>
      </c>
      <c r="D126" s="6" t="n">
        <f aca="false">INDEX(WBS_MD!$F$2:$F$174,MATCH(A126,WBS_MD!$A$2:$A$174,0))*C126</f>
        <v>10500000</v>
      </c>
    </row>
    <row r="127" customFormat="false" ht="15" hidden="false" customHeight="false" outlineLevel="0" collapsed="false">
      <c r="A127" s="14" t="s">
        <v>191</v>
      </c>
      <c r="B127" s="14" t="n">
        <v>6</v>
      </c>
      <c r="C127" s="20" t="n">
        <v>1</v>
      </c>
      <c r="D127" s="6" t="n">
        <f aca="false">INDEX(WBS_MD!$F$2:$F$174,MATCH(A127,WBS_MD!$A$2:$A$174,0))*C127</f>
        <v>6300000</v>
      </c>
    </row>
    <row r="128" customFormat="false" ht="15" hidden="false" customHeight="false" outlineLevel="0" collapsed="false">
      <c r="A128" s="14" t="s">
        <v>193</v>
      </c>
      <c r="B128" s="14" t="n">
        <v>6</v>
      </c>
      <c r="C128" s="20" t="n">
        <v>1</v>
      </c>
      <c r="D128" s="6" t="n">
        <f aca="false">INDEX(WBS_MD!$F$2:$F$174,MATCH(A128,WBS_MD!$A$2:$A$174,0))*C128</f>
        <v>10500000</v>
      </c>
    </row>
    <row r="129" customFormat="false" ht="15" hidden="false" customHeight="false" outlineLevel="0" collapsed="false">
      <c r="A129" s="14" t="s">
        <v>195</v>
      </c>
      <c r="B129" s="14" t="n">
        <v>6</v>
      </c>
      <c r="C129" s="20" t="n">
        <v>1</v>
      </c>
      <c r="D129" s="6" t="n">
        <f aca="false">INDEX(WBS_MD!$F$2:$F$174,MATCH(A129,WBS_MD!$A$2:$A$174,0))*C129</f>
        <v>12600000</v>
      </c>
    </row>
    <row r="130" customFormat="false" ht="15" hidden="false" customHeight="false" outlineLevel="0" collapsed="false">
      <c r="A130" s="14" t="s">
        <v>197</v>
      </c>
      <c r="B130" s="14" t="n">
        <v>6</v>
      </c>
      <c r="C130" s="20" t="n">
        <v>1</v>
      </c>
      <c r="D130" s="6" t="n">
        <f aca="false">INDEX(WBS_MD!$F$2:$F$174,MATCH(A130,WBS_MD!$A$2:$A$174,0))*C130</f>
        <v>8400000</v>
      </c>
    </row>
    <row r="131" customFormat="false" ht="15" hidden="false" customHeight="false" outlineLevel="0" collapsed="false">
      <c r="A131" s="14" t="s">
        <v>199</v>
      </c>
      <c r="B131" s="14" t="n">
        <v>6</v>
      </c>
      <c r="C131" s="20" t="n">
        <v>1</v>
      </c>
      <c r="D131" s="6" t="n">
        <f aca="false">INDEX(WBS_MD!$F$2:$F$174,MATCH(A131,WBS_MD!$A$2:$A$174,0))*C131</f>
        <v>10500000</v>
      </c>
    </row>
    <row r="132" customFormat="false" ht="15" hidden="false" customHeight="false" outlineLevel="0" collapsed="false">
      <c r="A132" s="14" t="s">
        <v>201</v>
      </c>
      <c r="B132" s="14" t="n">
        <v>6</v>
      </c>
      <c r="C132" s="20" t="n">
        <v>1</v>
      </c>
      <c r="D132" s="6" t="n">
        <f aca="false">INDEX(WBS_MD!$F$2:$F$174,MATCH(A132,WBS_MD!$A$2:$A$174,0))*C132</f>
        <v>8400000</v>
      </c>
    </row>
    <row r="133" customFormat="false" ht="15" hidden="false" customHeight="false" outlineLevel="0" collapsed="false">
      <c r="A133" s="14" t="s">
        <v>203</v>
      </c>
      <c r="B133" s="14" t="n">
        <v>6</v>
      </c>
      <c r="C133" s="20" t="n">
        <v>1</v>
      </c>
      <c r="D133" s="6" t="n">
        <f aca="false">INDEX(WBS_MD!$F$2:$F$174,MATCH(A133,WBS_MD!$A$2:$A$174,0))*C133</f>
        <v>12600000</v>
      </c>
    </row>
    <row r="134" customFormat="false" ht="15" hidden="false" customHeight="false" outlineLevel="0" collapsed="false">
      <c r="A134" s="14" t="s">
        <v>205</v>
      </c>
      <c r="B134" s="14" t="n">
        <v>6</v>
      </c>
      <c r="C134" s="20" t="n">
        <v>1</v>
      </c>
      <c r="D134" s="6" t="n">
        <f aca="false">INDEX(WBS_MD!$F$2:$F$174,MATCH(A134,WBS_MD!$A$2:$A$174,0))*C134</f>
        <v>10500000</v>
      </c>
    </row>
    <row r="135" customFormat="false" ht="15" hidden="false" customHeight="false" outlineLevel="0" collapsed="false">
      <c r="A135" s="14" t="s">
        <v>207</v>
      </c>
      <c r="B135" s="14" t="n">
        <v>6</v>
      </c>
      <c r="C135" s="20" t="n">
        <v>1</v>
      </c>
      <c r="D135" s="6" t="n">
        <f aca="false">INDEX(WBS_MD!$F$2:$F$174,MATCH(A135,WBS_MD!$A$2:$A$174,0))*C135</f>
        <v>12000000</v>
      </c>
    </row>
    <row r="136" customFormat="false" ht="15" hidden="false" customHeight="false" outlineLevel="0" collapsed="false">
      <c r="A136" s="14" t="s">
        <v>209</v>
      </c>
      <c r="B136" s="14" t="n">
        <v>6</v>
      </c>
      <c r="C136" s="20" t="n">
        <v>1</v>
      </c>
      <c r="D136" s="6" t="n">
        <f aca="false">INDEX(WBS_MD!$F$2:$F$174,MATCH(A136,WBS_MD!$A$2:$A$174,0))*C136</f>
        <v>14000000</v>
      </c>
    </row>
    <row r="137" customFormat="false" ht="15" hidden="false" customHeight="false" outlineLevel="0" collapsed="false">
      <c r="A137" s="14" t="s">
        <v>211</v>
      </c>
      <c r="B137" s="14" t="n">
        <v>6</v>
      </c>
      <c r="C137" s="20" t="n">
        <v>1</v>
      </c>
      <c r="D137" s="6" t="n">
        <f aca="false">INDEX(WBS_MD!$F$2:$F$174,MATCH(A137,WBS_MD!$A$2:$A$174,0))*C137</f>
        <v>12000000</v>
      </c>
    </row>
    <row r="138" customFormat="false" ht="15" hidden="false" customHeight="false" outlineLevel="0" collapsed="false">
      <c r="A138" s="14" t="s">
        <v>213</v>
      </c>
      <c r="B138" s="14" t="n">
        <v>6</v>
      </c>
      <c r="C138" s="20" t="n">
        <v>1</v>
      </c>
      <c r="D138" s="6" t="n">
        <f aca="false">INDEX(WBS_MD!$F$2:$F$174,MATCH(A138,WBS_MD!$A$2:$A$174,0))*C138</f>
        <v>8400000</v>
      </c>
    </row>
    <row r="139" customFormat="false" ht="15" hidden="false" customHeight="false" outlineLevel="0" collapsed="false">
      <c r="A139" s="14" t="s">
        <v>215</v>
      </c>
      <c r="B139" s="14" t="n">
        <v>6</v>
      </c>
      <c r="C139" s="20" t="n">
        <v>1</v>
      </c>
      <c r="D139" s="6" t="n">
        <f aca="false">INDEX(WBS_MD!$F$2:$F$174,MATCH(A139,WBS_MD!$A$2:$A$174,0))*C139</f>
        <v>12000000</v>
      </c>
    </row>
    <row r="140" customFormat="false" ht="15" hidden="false" customHeight="false" outlineLevel="0" collapsed="false">
      <c r="A140" s="14" t="s">
        <v>217</v>
      </c>
      <c r="B140" s="14" t="n">
        <v>6</v>
      </c>
      <c r="C140" s="20" t="n">
        <v>1</v>
      </c>
      <c r="D140" s="6" t="n">
        <f aca="false">INDEX(WBS_MD!$F$2:$F$174,MATCH(A140,WBS_MD!$A$2:$A$174,0))*C140</f>
        <v>6300000</v>
      </c>
    </row>
    <row r="141" customFormat="false" ht="15" hidden="false" customHeight="false" outlineLevel="0" collapsed="false">
      <c r="A141" s="14" t="s">
        <v>219</v>
      </c>
      <c r="B141" s="14" t="n">
        <v>6</v>
      </c>
      <c r="C141" s="20" t="n">
        <v>1</v>
      </c>
      <c r="D141" s="6" t="n">
        <f aca="false">INDEX(WBS_MD!$F$2:$F$174,MATCH(A141,WBS_MD!$A$2:$A$174,0))*C141</f>
        <v>6450000</v>
      </c>
    </row>
    <row r="142" customFormat="false" ht="15" hidden="false" customHeight="false" outlineLevel="0" collapsed="false">
      <c r="A142" s="14" t="s">
        <v>221</v>
      </c>
      <c r="B142" s="14" t="n">
        <v>10</v>
      </c>
      <c r="C142" s="20" t="n">
        <v>0.5</v>
      </c>
      <c r="D142" s="6" t="n">
        <f aca="false">INDEX(WBS_MD!$F$2:$F$174,MATCH(A142,WBS_MD!$A$2:$A$174,0))*C142</f>
        <v>3000000</v>
      </c>
    </row>
    <row r="143" customFormat="false" ht="15" hidden="false" customHeight="false" outlineLevel="0" collapsed="false">
      <c r="A143" s="14" t="s">
        <v>221</v>
      </c>
      <c r="B143" s="14" t="n">
        <v>11</v>
      </c>
      <c r="C143" s="20" t="n">
        <v>0.5</v>
      </c>
      <c r="D143" s="6" t="n">
        <f aca="false">INDEX(WBS_MD!$F$2:$F$174,MATCH(A143,WBS_MD!$A$2:$A$174,0))*C143</f>
        <v>3000000</v>
      </c>
    </row>
    <row r="144" customFormat="false" ht="15" hidden="false" customHeight="false" outlineLevel="0" collapsed="false">
      <c r="A144" s="14" t="s">
        <v>223</v>
      </c>
      <c r="B144" s="14" t="n">
        <v>10</v>
      </c>
      <c r="C144" s="20" t="n">
        <v>1</v>
      </c>
      <c r="D144" s="6" t="n">
        <f aca="false">INDEX(WBS_MD!$F$2:$F$174,MATCH(A144,WBS_MD!$A$2:$A$174,0))*C144</f>
        <v>4000000</v>
      </c>
    </row>
    <row r="145" customFormat="false" ht="15" hidden="false" customHeight="false" outlineLevel="0" collapsed="false">
      <c r="A145" s="14" t="s">
        <v>225</v>
      </c>
      <c r="B145" s="14" t="n">
        <v>10</v>
      </c>
      <c r="C145" s="20" t="n">
        <v>1</v>
      </c>
      <c r="D145" s="6" t="n">
        <f aca="false">INDEX(WBS_MD!$F$2:$F$174,MATCH(A145,WBS_MD!$A$2:$A$174,0))*C145</f>
        <v>6000000</v>
      </c>
    </row>
    <row r="146" customFormat="false" ht="15" hidden="false" customHeight="false" outlineLevel="0" collapsed="false">
      <c r="A146" s="14" t="s">
        <v>227</v>
      </c>
      <c r="B146" s="14" t="n">
        <v>11</v>
      </c>
      <c r="C146" s="20" t="n">
        <v>1</v>
      </c>
      <c r="D146" s="6" t="n">
        <f aca="false">INDEX(WBS_MD!$F$2:$F$174,MATCH(A146,WBS_MD!$A$2:$A$174,0))*C146</f>
        <v>16000000</v>
      </c>
    </row>
    <row r="147" customFormat="false" ht="15" hidden="false" customHeight="false" outlineLevel="0" collapsed="false">
      <c r="A147" s="14" t="s">
        <v>229</v>
      </c>
      <c r="B147" s="14" t="n">
        <v>11</v>
      </c>
      <c r="C147" s="20" t="n">
        <v>1</v>
      </c>
      <c r="D147" s="6" t="n">
        <f aca="false">INDEX(WBS_MD!$F$2:$F$174,MATCH(A147,WBS_MD!$A$2:$A$174,0))*C147</f>
        <v>8000000</v>
      </c>
    </row>
    <row r="148" customFormat="false" ht="15" hidden="false" customHeight="false" outlineLevel="0" collapsed="false">
      <c r="A148" s="14" t="s">
        <v>231</v>
      </c>
      <c r="B148" s="14" t="n">
        <v>11</v>
      </c>
      <c r="C148" s="20" t="n">
        <v>1</v>
      </c>
      <c r="D148" s="6" t="n">
        <f aca="false">INDEX(WBS_MD!$F$2:$F$174,MATCH(A148,WBS_MD!$A$2:$A$174,0))*C148</f>
        <v>10500000</v>
      </c>
    </row>
    <row r="149" customFormat="false" ht="15" hidden="false" customHeight="false" outlineLevel="0" collapsed="false">
      <c r="A149" s="14" t="s">
        <v>233</v>
      </c>
      <c r="B149" s="14" t="n">
        <v>12</v>
      </c>
      <c r="C149" s="20" t="n">
        <v>1</v>
      </c>
      <c r="D149" s="6" t="n">
        <f aca="false">INDEX(WBS_MD!$F$2:$F$174,MATCH(A149,WBS_MD!$A$2:$A$174,0))*C149</f>
        <v>8600000</v>
      </c>
    </row>
    <row r="150" customFormat="false" ht="15" hidden="false" customHeight="false" outlineLevel="0" collapsed="false">
      <c r="A150" s="14" t="s">
        <v>235</v>
      </c>
      <c r="B150" s="14" t="n">
        <v>12</v>
      </c>
      <c r="C150" s="20" t="n">
        <v>1</v>
      </c>
      <c r="D150" s="6" t="n">
        <f aca="false">INDEX(WBS_MD!$F$2:$F$174,MATCH(A150,WBS_MD!$A$2:$A$174,0))*C150</f>
        <v>10400000</v>
      </c>
    </row>
    <row r="151" customFormat="false" ht="15" hidden="false" customHeight="false" outlineLevel="0" collapsed="false">
      <c r="A151" s="14" t="s">
        <v>237</v>
      </c>
      <c r="B151" s="14" t="n">
        <v>12</v>
      </c>
      <c r="C151" s="20" t="n">
        <v>1</v>
      </c>
      <c r="D151" s="6" t="n">
        <f aca="false">INDEX(WBS_MD!$F$2:$F$174,MATCH(A151,WBS_MD!$A$2:$A$174,0))*C151</f>
        <v>6450000</v>
      </c>
    </row>
    <row r="152" customFormat="false" ht="15" hidden="false" customHeight="false" outlineLevel="0" collapsed="false">
      <c r="A152" s="14" t="s">
        <v>239</v>
      </c>
      <c r="B152" s="14" t="n">
        <v>1</v>
      </c>
      <c r="C152" s="20" t="n">
        <v>1</v>
      </c>
      <c r="D152" s="6" t="n">
        <f aca="false">INDEX(WBS_MD!$F$2:$F$174,MATCH(A152,WBS_MD!$A$2:$A$174,0))*C152</f>
        <v>11000000</v>
      </c>
    </row>
    <row r="153" customFormat="false" ht="15" hidden="false" customHeight="false" outlineLevel="0" collapsed="false">
      <c r="A153" s="14" t="s">
        <v>242</v>
      </c>
      <c r="B153" s="14" t="n">
        <v>1</v>
      </c>
      <c r="C153" s="20" t="n">
        <v>1</v>
      </c>
      <c r="D153" s="6" t="n">
        <f aca="false">INDEX(WBS_MD!$F$2:$F$174,MATCH(A153,WBS_MD!$A$2:$A$174,0))*C153</f>
        <v>5500000</v>
      </c>
    </row>
    <row r="154" customFormat="false" ht="15" hidden="false" customHeight="false" outlineLevel="0" collapsed="false">
      <c r="A154" s="14" t="s">
        <v>244</v>
      </c>
      <c r="B154" s="14" t="n">
        <v>1</v>
      </c>
      <c r="C154" s="20" t="n">
        <v>0.0769230769230769</v>
      </c>
      <c r="D154" s="6" t="n">
        <f aca="false">INDEX(WBS_MD!$F$2:$F$174,MATCH(A154,WBS_MD!$A$2:$A$174,0))*C154</f>
        <v>528846.153846154</v>
      </c>
    </row>
    <row r="155" customFormat="false" ht="15" hidden="false" customHeight="false" outlineLevel="0" collapsed="false">
      <c r="A155" s="14" t="s">
        <v>244</v>
      </c>
      <c r="B155" s="14" t="n">
        <v>2</v>
      </c>
      <c r="C155" s="20" t="n">
        <v>0.0769230769230769</v>
      </c>
      <c r="D155" s="6" t="n">
        <f aca="false">INDEX(WBS_MD!$F$2:$F$174,MATCH(A155,WBS_MD!$A$2:$A$174,0))*C155</f>
        <v>528846.153846154</v>
      </c>
    </row>
    <row r="156" customFormat="false" ht="15" hidden="false" customHeight="false" outlineLevel="0" collapsed="false">
      <c r="A156" s="14" t="s">
        <v>244</v>
      </c>
      <c r="B156" s="14" t="n">
        <v>3</v>
      </c>
      <c r="C156" s="20" t="n">
        <v>0.0769230769230769</v>
      </c>
      <c r="D156" s="6" t="n">
        <f aca="false">INDEX(WBS_MD!$F$2:$F$174,MATCH(A156,WBS_MD!$A$2:$A$174,0))*C156</f>
        <v>528846.153846154</v>
      </c>
    </row>
    <row r="157" customFormat="false" ht="15" hidden="false" customHeight="false" outlineLevel="0" collapsed="false">
      <c r="A157" s="14" t="s">
        <v>244</v>
      </c>
      <c r="B157" s="14" t="n">
        <v>4</v>
      </c>
      <c r="C157" s="20" t="n">
        <v>0.0769230769230769</v>
      </c>
      <c r="D157" s="6" t="n">
        <f aca="false">INDEX(WBS_MD!$F$2:$F$174,MATCH(A157,WBS_MD!$A$2:$A$174,0))*C157</f>
        <v>528846.153846154</v>
      </c>
    </row>
    <row r="158" customFormat="false" ht="15" hidden="false" customHeight="false" outlineLevel="0" collapsed="false">
      <c r="A158" s="14" t="s">
        <v>244</v>
      </c>
      <c r="B158" s="14" t="n">
        <v>5</v>
      </c>
      <c r="C158" s="20" t="n">
        <v>0.0769230769230769</v>
      </c>
      <c r="D158" s="6" t="n">
        <f aca="false">INDEX(WBS_MD!$F$2:$F$174,MATCH(A158,WBS_MD!$A$2:$A$174,0))*C158</f>
        <v>528846.153846154</v>
      </c>
    </row>
    <row r="159" customFormat="false" ht="15" hidden="false" customHeight="false" outlineLevel="0" collapsed="false">
      <c r="A159" s="14" t="s">
        <v>244</v>
      </c>
      <c r="B159" s="14" t="n">
        <v>6</v>
      </c>
      <c r="C159" s="20" t="n">
        <v>0.0769230769230769</v>
      </c>
      <c r="D159" s="6" t="n">
        <f aca="false">INDEX(WBS_MD!$F$2:$F$174,MATCH(A159,WBS_MD!$A$2:$A$174,0))*C159</f>
        <v>528846.153846154</v>
      </c>
    </row>
    <row r="160" customFormat="false" ht="15" hidden="false" customHeight="false" outlineLevel="0" collapsed="false">
      <c r="A160" s="14" t="s">
        <v>244</v>
      </c>
      <c r="B160" s="14" t="n">
        <v>7</v>
      </c>
      <c r="C160" s="20" t="n">
        <v>0.0769230769230769</v>
      </c>
      <c r="D160" s="6" t="n">
        <f aca="false">INDEX(WBS_MD!$F$2:$F$174,MATCH(A160,WBS_MD!$A$2:$A$174,0))*C160</f>
        <v>528846.153846154</v>
      </c>
    </row>
    <row r="161" customFormat="false" ht="15" hidden="false" customHeight="false" outlineLevel="0" collapsed="false">
      <c r="A161" s="14" t="s">
        <v>244</v>
      </c>
      <c r="B161" s="14" t="n">
        <v>8</v>
      </c>
      <c r="C161" s="20" t="n">
        <v>0.0769230769230769</v>
      </c>
      <c r="D161" s="6" t="n">
        <f aca="false">INDEX(WBS_MD!$F$2:$F$174,MATCH(A161,WBS_MD!$A$2:$A$174,0))*C161</f>
        <v>528846.153846154</v>
      </c>
    </row>
    <row r="162" customFormat="false" ht="15" hidden="false" customHeight="false" outlineLevel="0" collapsed="false">
      <c r="A162" s="14" t="s">
        <v>244</v>
      </c>
      <c r="B162" s="14" t="n">
        <v>9</v>
      </c>
      <c r="C162" s="20" t="n">
        <v>0.0769230769230769</v>
      </c>
      <c r="D162" s="6" t="n">
        <f aca="false">INDEX(WBS_MD!$F$2:$F$174,MATCH(A162,WBS_MD!$A$2:$A$174,0))*C162</f>
        <v>528846.153846154</v>
      </c>
    </row>
    <row r="163" customFormat="false" ht="15" hidden="false" customHeight="false" outlineLevel="0" collapsed="false">
      <c r="A163" s="14" t="s">
        <v>244</v>
      </c>
      <c r="B163" s="14" t="n">
        <v>10</v>
      </c>
      <c r="C163" s="20" t="n">
        <v>0.0769230769230769</v>
      </c>
      <c r="D163" s="6" t="n">
        <f aca="false">INDEX(WBS_MD!$F$2:$F$174,MATCH(A163,WBS_MD!$A$2:$A$174,0))*C163</f>
        <v>528846.153846154</v>
      </c>
    </row>
    <row r="164" customFormat="false" ht="15" hidden="false" customHeight="false" outlineLevel="0" collapsed="false">
      <c r="A164" s="14" t="s">
        <v>244</v>
      </c>
      <c r="B164" s="14" t="n">
        <v>11</v>
      </c>
      <c r="C164" s="20" t="n">
        <v>0.0769230769230769</v>
      </c>
      <c r="D164" s="6" t="n">
        <f aca="false">INDEX(WBS_MD!$F$2:$F$174,MATCH(A164,WBS_MD!$A$2:$A$174,0))*C164</f>
        <v>528846.153846154</v>
      </c>
    </row>
    <row r="165" customFormat="false" ht="15" hidden="false" customHeight="false" outlineLevel="0" collapsed="false">
      <c r="A165" s="14" t="s">
        <v>244</v>
      </c>
      <c r="B165" s="14" t="n">
        <v>12</v>
      </c>
      <c r="C165" s="20" t="n">
        <v>0.0769230769230769</v>
      </c>
      <c r="D165" s="6" t="n">
        <f aca="false">INDEX(WBS_MD!$F$2:$F$174,MATCH(A165,WBS_MD!$A$2:$A$174,0))*C165</f>
        <v>528846.153846154</v>
      </c>
    </row>
    <row r="166" customFormat="false" ht="15" hidden="false" customHeight="false" outlineLevel="0" collapsed="false">
      <c r="A166" s="14" t="s">
        <v>244</v>
      </c>
      <c r="B166" s="14" t="n">
        <v>13</v>
      </c>
      <c r="C166" s="20" t="n">
        <v>0.0769230769230769</v>
      </c>
      <c r="D166" s="6" t="n">
        <f aca="false">INDEX(WBS_MD!$F$2:$F$174,MATCH(A166,WBS_MD!$A$2:$A$174,0))*C166</f>
        <v>528846.153846154</v>
      </c>
    </row>
    <row r="167" customFormat="false" ht="15" hidden="false" customHeight="false" outlineLevel="0" collapsed="false">
      <c r="A167" s="14" t="s">
        <v>246</v>
      </c>
      <c r="B167" s="14" t="n">
        <v>1</v>
      </c>
      <c r="C167" s="20" t="n">
        <v>0.0769230769230769</v>
      </c>
      <c r="D167" s="6" t="n">
        <f aca="false">INDEX(WBS_MD!$F$2:$F$174,MATCH(A167,WBS_MD!$A$2:$A$174,0))*C167</f>
        <v>423076.923076923</v>
      </c>
    </row>
    <row r="168" customFormat="false" ht="15" hidden="false" customHeight="false" outlineLevel="0" collapsed="false">
      <c r="A168" s="14" t="s">
        <v>246</v>
      </c>
      <c r="B168" s="14" t="n">
        <v>2</v>
      </c>
      <c r="C168" s="20" t="n">
        <v>0.0769230769230769</v>
      </c>
      <c r="D168" s="6" t="n">
        <f aca="false">INDEX(WBS_MD!$F$2:$F$174,MATCH(A168,WBS_MD!$A$2:$A$174,0))*C168</f>
        <v>423076.923076923</v>
      </c>
    </row>
    <row r="169" customFormat="false" ht="15" hidden="false" customHeight="false" outlineLevel="0" collapsed="false">
      <c r="A169" s="14" t="s">
        <v>246</v>
      </c>
      <c r="B169" s="14" t="n">
        <v>3</v>
      </c>
      <c r="C169" s="20" t="n">
        <v>0.0769230769230769</v>
      </c>
      <c r="D169" s="6" t="n">
        <f aca="false">INDEX(WBS_MD!$F$2:$F$174,MATCH(A169,WBS_MD!$A$2:$A$174,0))*C169</f>
        <v>423076.923076923</v>
      </c>
    </row>
    <row r="170" customFormat="false" ht="15" hidden="false" customHeight="false" outlineLevel="0" collapsed="false">
      <c r="A170" s="14" t="s">
        <v>246</v>
      </c>
      <c r="B170" s="14" t="n">
        <v>4</v>
      </c>
      <c r="C170" s="20" t="n">
        <v>0.0769230769230769</v>
      </c>
      <c r="D170" s="6" t="n">
        <f aca="false">INDEX(WBS_MD!$F$2:$F$174,MATCH(A170,WBS_MD!$A$2:$A$174,0))*C170</f>
        <v>423076.923076923</v>
      </c>
    </row>
    <row r="171" customFormat="false" ht="15" hidden="false" customHeight="false" outlineLevel="0" collapsed="false">
      <c r="A171" s="14" t="s">
        <v>246</v>
      </c>
      <c r="B171" s="14" t="n">
        <v>5</v>
      </c>
      <c r="C171" s="20" t="n">
        <v>0.0769230769230769</v>
      </c>
      <c r="D171" s="6" t="n">
        <f aca="false">INDEX(WBS_MD!$F$2:$F$174,MATCH(A171,WBS_MD!$A$2:$A$174,0))*C171</f>
        <v>423076.923076923</v>
      </c>
    </row>
    <row r="172" customFormat="false" ht="15" hidden="false" customHeight="false" outlineLevel="0" collapsed="false">
      <c r="A172" s="14" t="s">
        <v>246</v>
      </c>
      <c r="B172" s="14" t="n">
        <v>6</v>
      </c>
      <c r="C172" s="20" t="n">
        <v>0.0769230769230769</v>
      </c>
      <c r="D172" s="6" t="n">
        <f aca="false">INDEX(WBS_MD!$F$2:$F$174,MATCH(A172,WBS_MD!$A$2:$A$174,0))*C172</f>
        <v>423076.923076923</v>
      </c>
    </row>
    <row r="173" customFormat="false" ht="15" hidden="false" customHeight="false" outlineLevel="0" collapsed="false">
      <c r="A173" s="14" t="s">
        <v>246</v>
      </c>
      <c r="B173" s="14" t="n">
        <v>7</v>
      </c>
      <c r="C173" s="20" t="n">
        <v>0.0769230769230769</v>
      </c>
      <c r="D173" s="6" t="n">
        <f aca="false">INDEX(WBS_MD!$F$2:$F$174,MATCH(A173,WBS_MD!$A$2:$A$174,0))*C173</f>
        <v>423076.923076923</v>
      </c>
    </row>
    <row r="174" customFormat="false" ht="15" hidden="false" customHeight="false" outlineLevel="0" collapsed="false">
      <c r="A174" s="14" t="s">
        <v>246</v>
      </c>
      <c r="B174" s="14" t="n">
        <v>8</v>
      </c>
      <c r="C174" s="20" t="n">
        <v>0.0769230769230769</v>
      </c>
      <c r="D174" s="6" t="n">
        <f aca="false">INDEX(WBS_MD!$F$2:$F$174,MATCH(A174,WBS_MD!$A$2:$A$174,0))*C174</f>
        <v>423076.923076923</v>
      </c>
    </row>
    <row r="175" customFormat="false" ht="15" hidden="false" customHeight="false" outlineLevel="0" collapsed="false">
      <c r="A175" s="14" t="s">
        <v>246</v>
      </c>
      <c r="B175" s="14" t="n">
        <v>9</v>
      </c>
      <c r="C175" s="20" t="n">
        <v>0.0769230769230769</v>
      </c>
      <c r="D175" s="6" t="n">
        <f aca="false">INDEX(WBS_MD!$F$2:$F$174,MATCH(A175,WBS_MD!$A$2:$A$174,0))*C175</f>
        <v>423076.923076923</v>
      </c>
    </row>
    <row r="176" customFormat="false" ht="15" hidden="false" customHeight="false" outlineLevel="0" collapsed="false">
      <c r="A176" s="14" t="s">
        <v>246</v>
      </c>
      <c r="B176" s="14" t="n">
        <v>10</v>
      </c>
      <c r="C176" s="20" t="n">
        <v>0.0769230769230769</v>
      </c>
      <c r="D176" s="6" t="n">
        <f aca="false">INDEX(WBS_MD!$F$2:$F$174,MATCH(A176,WBS_MD!$A$2:$A$174,0))*C176</f>
        <v>423076.923076923</v>
      </c>
    </row>
    <row r="177" customFormat="false" ht="15" hidden="false" customHeight="false" outlineLevel="0" collapsed="false">
      <c r="A177" s="14" t="s">
        <v>246</v>
      </c>
      <c r="B177" s="14" t="n">
        <v>11</v>
      </c>
      <c r="C177" s="20" t="n">
        <v>0.0769230769230769</v>
      </c>
      <c r="D177" s="6" t="n">
        <f aca="false">INDEX(WBS_MD!$F$2:$F$174,MATCH(A177,WBS_MD!$A$2:$A$174,0))*C177</f>
        <v>423076.923076923</v>
      </c>
    </row>
    <row r="178" customFormat="false" ht="15" hidden="false" customHeight="false" outlineLevel="0" collapsed="false">
      <c r="A178" s="14" t="s">
        <v>246</v>
      </c>
      <c r="B178" s="14" t="n">
        <v>12</v>
      </c>
      <c r="C178" s="20" t="n">
        <v>0.0769230769230769</v>
      </c>
      <c r="D178" s="6" t="n">
        <f aca="false">INDEX(WBS_MD!$F$2:$F$174,MATCH(A178,WBS_MD!$A$2:$A$174,0))*C178</f>
        <v>423076.923076923</v>
      </c>
    </row>
    <row r="179" customFormat="false" ht="15" hidden="false" customHeight="false" outlineLevel="0" collapsed="false">
      <c r="A179" s="14" t="s">
        <v>246</v>
      </c>
      <c r="B179" s="14" t="n">
        <v>13</v>
      </c>
      <c r="C179" s="20" t="n">
        <v>0.0769230769230769</v>
      </c>
      <c r="D179" s="6" t="n">
        <f aca="false">INDEX(WBS_MD!$F$2:$F$174,MATCH(A179,WBS_MD!$A$2:$A$174,0))*C179</f>
        <v>423076.923076923</v>
      </c>
    </row>
    <row r="180" customFormat="false" ht="15" hidden="false" customHeight="false" outlineLevel="0" collapsed="false">
      <c r="A180" s="14" t="s">
        <v>248</v>
      </c>
      <c r="B180" s="14" t="n">
        <v>1</v>
      </c>
      <c r="C180" s="20" t="n">
        <v>0.0769230769230769</v>
      </c>
      <c r="D180" s="6" t="n">
        <f aca="false">INDEX(WBS_MD!$F$2:$F$174,MATCH(A180,WBS_MD!$A$2:$A$174,0))*C180</f>
        <v>528846.153846154</v>
      </c>
    </row>
    <row r="181" customFormat="false" ht="15" hidden="false" customHeight="false" outlineLevel="0" collapsed="false">
      <c r="A181" s="14" t="s">
        <v>248</v>
      </c>
      <c r="B181" s="14" t="n">
        <v>2</v>
      </c>
      <c r="C181" s="20" t="n">
        <v>0.0769230769230769</v>
      </c>
      <c r="D181" s="6" t="n">
        <f aca="false">INDEX(WBS_MD!$F$2:$F$174,MATCH(A181,WBS_MD!$A$2:$A$174,0))*C181</f>
        <v>528846.153846154</v>
      </c>
    </row>
    <row r="182" customFormat="false" ht="15" hidden="false" customHeight="false" outlineLevel="0" collapsed="false">
      <c r="A182" s="14" t="s">
        <v>248</v>
      </c>
      <c r="B182" s="14" t="n">
        <v>3</v>
      </c>
      <c r="C182" s="20" t="n">
        <v>0.0769230769230769</v>
      </c>
      <c r="D182" s="6" t="n">
        <f aca="false">INDEX(WBS_MD!$F$2:$F$174,MATCH(A182,WBS_MD!$A$2:$A$174,0))*C182</f>
        <v>528846.153846154</v>
      </c>
    </row>
    <row r="183" customFormat="false" ht="15" hidden="false" customHeight="false" outlineLevel="0" collapsed="false">
      <c r="A183" s="14" t="s">
        <v>248</v>
      </c>
      <c r="B183" s="14" t="n">
        <v>4</v>
      </c>
      <c r="C183" s="20" t="n">
        <v>0.0769230769230769</v>
      </c>
      <c r="D183" s="6" t="n">
        <f aca="false">INDEX(WBS_MD!$F$2:$F$174,MATCH(A183,WBS_MD!$A$2:$A$174,0))*C183</f>
        <v>528846.153846154</v>
      </c>
    </row>
    <row r="184" customFormat="false" ht="15" hidden="false" customHeight="false" outlineLevel="0" collapsed="false">
      <c r="A184" s="14" t="s">
        <v>248</v>
      </c>
      <c r="B184" s="14" t="n">
        <v>5</v>
      </c>
      <c r="C184" s="20" t="n">
        <v>0.0769230769230769</v>
      </c>
      <c r="D184" s="6" t="n">
        <f aca="false">INDEX(WBS_MD!$F$2:$F$174,MATCH(A184,WBS_MD!$A$2:$A$174,0))*C184</f>
        <v>528846.153846154</v>
      </c>
    </row>
    <row r="185" customFormat="false" ht="15" hidden="false" customHeight="false" outlineLevel="0" collapsed="false">
      <c r="A185" s="14" t="s">
        <v>248</v>
      </c>
      <c r="B185" s="14" t="n">
        <v>6</v>
      </c>
      <c r="C185" s="20" t="n">
        <v>0.0769230769230769</v>
      </c>
      <c r="D185" s="6" t="n">
        <f aca="false">INDEX(WBS_MD!$F$2:$F$174,MATCH(A185,WBS_MD!$A$2:$A$174,0))*C185</f>
        <v>528846.153846154</v>
      </c>
    </row>
    <row r="186" customFormat="false" ht="15" hidden="false" customHeight="false" outlineLevel="0" collapsed="false">
      <c r="A186" s="14" t="s">
        <v>248</v>
      </c>
      <c r="B186" s="14" t="n">
        <v>7</v>
      </c>
      <c r="C186" s="20" t="n">
        <v>0.0769230769230769</v>
      </c>
      <c r="D186" s="6" t="n">
        <f aca="false">INDEX(WBS_MD!$F$2:$F$174,MATCH(A186,WBS_MD!$A$2:$A$174,0))*C186</f>
        <v>528846.153846154</v>
      </c>
    </row>
    <row r="187" customFormat="false" ht="15" hidden="false" customHeight="false" outlineLevel="0" collapsed="false">
      <c r="A187" s="14" t="s">
        <v>248</v>
      </c>
      <c r="B187" s="14" t="n">
        <v>8</v>
      </c>
      <c r="C187" s="20" t="n">
        <v>0.0769230769230769</v>
      </c>
      <c r="D187" s="6" t="n">
        <f aca="false">INDEX(WBS_MD!$F$2:$F$174,MATCH(A187,WBS_MD!$A$2:$A$174,0))*C187</f>
        <v>528846.153846154</v>
      </c>
    </row>
    <row r="188" customFormat="false" ht="15" hidden="false" customHeight="false" outlineLevel="0" collapsed="false">
      <c r="A188" s="14" t="s">
        <v>248</v>
      </c>
      <c r="B188" s="14" t="n">
        <v>9</v>
      </c>
      <c r="C188" s="20" t="n">
        <v>0.0769230769230769</v>
      </c>
      <c r="D188" s="6" t="n">
        <f aca="false">INDEX(WBS_MD!$F$2:$F$174,MATCH(A188,WBS_MD!$A$2:$A$174,0))*C188</f>
        <v>528846.153846154</v>
      </c>
    </row>
    <row r="189" customFormat="false" ht="15" hidden="false" customHeight="false" outlineLevel="0" collapsed="false">
      <c r="A189" s="14" t="s">
        <v>248</v>
      </c>
      <c r="B189" s="14" t="n">
        <v>10</v>
      </c>
      <c r="C189" s="20" t="n">
        <v>0.0769230769230769</v>
      </c>
      <c r="D189" s="6" t="n">
        <f aca="false">INDEX(WBS_MD!$F$2:$F$174,MATCH(A189,WBS_MD!$A$2:$A$174,0))*C189</f>
        <v>528846.153846154</v>
      </c>
    </row>
    <row r="190" customFormat="false" ht="15" hidden="false" customHeight="false" outlineLevel="0" collapsed="false">
      <c r="A190" s="14" t="s">
        <v>248</v>
      </c>
      <c r="B190" s="14" t="n">
        <v>11</v>
      </c>
      <c r="C190" s="20" t="n">
        <v>0.0769230769230769</v>
      </c>
      <c r="D190" s="6" t="n">
        <f aca="false">INDEX(WBS_MD!$F$2:$F$174,MATCH(A190,WBS_MD!$A$2:$A$174,0))*C190</f>
        <v>528846.153846154</v>
      </c>
    </row>
    <row r="191" customFormat="false" ht="15" hidden="false" customHeight="false" outlineLevel="0" collapsed="false">
      <c r="A191" s="14" t="s">
        <v>248</v>
      </c>
      <c r="B191" s="14" t="n">
        <v>12</v>
      </c>
      <c r="C191" s="20" t="n">
        <v>0.0769230769230769</v>
      </c>
      <c r="D191" s="6" t="n">
        <f aca="false">INDEX(WBS_MD!$F$2:$F$174,MATCH(A191,WBS_MD!$A$2:$A$174,0))*C191</f>
        <v>528846.153846154</v>
      </c>
    </row>
    <row r="192" customFormat="false" ht="15" hidden="false" customHeight="false" outlineLevel="0" collapsed="false">
      <c r="A192" s="14" t="s">
        <v>248</v>
      </c>
      <c r="B192" s="14" t="n">
        <v>13</v>
      </c>
      <c r="C192" s="20" t="n">
        <v>0.0769230769230769</v>
      </c>
      <c r="D192" s="6" t="n">
        <f aca="false">INDEX(WBS_MD!$F$2:$F$174,MATCH(A192,WBS_MD!$A$2:$A$174,0))*C192</f>
        <v>528846.153846154</v>
      </c>
    </row>
    <row r="193" customFormat="false" ht="15" hidden="false" customHeight="false" outlineLevel="0" collapsed="false">
      <c r="A193" s="14" t="s">
        <v>250</v>
      </c>
      <c r="B193" s="14" t="n">
        <v>1</v>
      </c>
      <c r="C193" s="20" t="n">
        <v>1</v>
      </c>
      <c r="D193" s="6" t="n">
        <f aca="false">INDEX(WBS_MD!$F$2:$F$174,MATCH(A193,WBS_MD!$A$2:$A$174,0))*C193</f>
        <v>6875000</v>
      </c>
    </row>
    <row r="194" customFormat="false" ht="15" hidden="false" customHeight="false" outlineLevel="0" collapsed="false">
      <c r="A194" s="14" t="s">
        <v>252</v>
      </c>
      <c r="B194" s="14" t="n">
        <v>1</v>
      </c>
      <c r="C194" s="20" t="n">
        <v>1</v>
      </c>
      <c r="D194" s="6" t="n">
        <f aca="false">INDEX(WBS_MD!$F$2:$F$174,MATCH(A194,WBS_MD!$A$2:$A$174,0))*C194</f>
        <v>8600000</v>
      </c>
    </row>
    <row r="195" customFormat="false" ht="15" hidden="false" customHeight="false" outlineLevel="0" collapsed="false">
      <c r="A195" s="14" t="s">
        <v>254</v>
      </c>
      <c r="B195" s="14" t="n">
        <v>1</v>
      </c>
      <c r="C195" s="20" t="n">
        <v>1</v>
      </c>
      <c r="D195" s="6" t="n">
        <f aca="false">INDEX(WBS_MD!$F$2:$F$174,MATCH(A195,WBS_MD!$A$2:$A$174,0))*C195</f>
        <v>10750000</v>
      </c>
    </row>
    <row r="196" customFormat="false" ht="15" hidden="false" customHeight="false" outlineLevel="0" collapsed="false">
      <c r="A196" s="14" t="s">
        <v>256</v>
      </c>
      <c r="B196" s="14" t="n">
        <v>2</v>
      </c>
      <c r="C196" s="20" t="n">
        <v>1</v>
      </c>
      <c r="D196" s="6" t="n">
        <f aca="false">INDEX(WBS_MD!$F$2:$F$174,MATCH(A196,WBS_MD!$A$2:$A$174,0))*C196</f>
        <v>8600000</v>
      </c>
    </row>
    <row r="197" customFormat="false" ht="15" hidden="false" customHeight="false" outlineLevel="0" collapsed="false">
      <c r="A197" s="14" t="s">
        <v>258</v>
      </c>
      <c r="B197" s="14" t="n">
        <v>4</v>
      </c>
      <c r="C197" s="20" t="n">
        <v>1</v>
      </c>
      <c r="D197" s="6" t="n">
        <f aca="false">INDEX(WBS_MD!$F$2:$F$174,MATCH(A197,WBS_MD!$A$2:$A$174,0))*C197</f>
        <v>8400000</v>
      </c>
    </row>
    <row r="198" customFormat="false" ht="15" hidden="false" customHeight="false" outlineLevel="0" collapsed="false">
      <c r="A198" s="14" t="s">
        <v>260</v>
      </c>
      <c r="B198" s="14" t="n">
        <v>1</v>
      </c>
      <c r="C198" s="20" t="n">
        <v>0.25</v>
      </c>
      <c r="D198" s="6" t="n">
        <f aca="false">INDEX(WBS_MD!$F$2:$F$174,MATCH(A198,WBS_MD!$A$2:$A$174,0))*C198</f>
        <v>1612500</v>
      </c>
    </row>
    <row r="199" customFormat="false" ht="15" hidden="false" customHeight="false" outlineLevel="0" collapsed="false">
      <c r="A199" s="14" t="s">
        <v>260</v>
      </c>
      <c r="B199" s="14" t="n">
        <v>2</v>
      </c>
      <c r="C199" s="20" t="n">
        <v>0.25</v>
      </c>
      <c r="D199" s="6" t="n">
        <f aca="false">INDEX(WBS_MD!$F$2:$F$174,MATCH(A199,WBS_MD!$A$2:$A$174,0))*C199</f>
        <v>1612500</v>
      </c>
    </row>
    <row r="200" customFormat="false" ht="15" hidden="false" customHeight="false" outlineLevel="0" collapsed="false">
      <c r="A200" s="14" t="s">
        <v>260</v>
      </c>
      <c r="B200" s="14" t="n">
        <v>3</v>
      </c>
      <c r="C200" s="20" t="n">
        <v>0.25</v>
      </c>
      <c r="D200" s="6" t="n">
        <f aca="false">INDEX(WBS_MD!$F$2:$F$174,MATCH(A200,WBS_MD!$A$2:$A$174,0))*C200</f>
        <v>1612500</v>
      </c>
    </row>
    <row r="201" customFormat="false" ht="15" hidden="false" customHeight="false" outlineLevel="0" collapsed="false">
      <c r="A201" s="14" t="s">
        <v>260</v>
      </c>
      <c r="B201" s="14" t="n">
        <v>4</v>
      </c>
      <c r="C201" s="20" t="n">
        <v>0.25</v>
      </c>
      <c r="D201" s="6" t="n">
        <f aca="false">INDEX(WBS_MD!$F$2:$F$174,MATCH(A201,WBS_MD!$A$2:$A$174,0))*C201</f>
        <v>1612500</v>
      </c>
    </row>
    <row r="202" customFormat="false" ht="15" hidden="false" customHeight="false" outlineLevel="0" collapsed="false">
      <c r="A202" s="14" t="s">
        <v>262</v>
      </c>
      <c r="B202" s="14" t="n">
        <v>7</v>
      </c>
      <c r="C202" s="20" t="n">
        <v>1</v>
      </c>
      <c r="D202" s="6" t="n">
        <f aca="false">INDEX(WBS_MD!$F$2:$F$174,MATCH(A202,WBS_MD!$A$2:$A$174,0))*C202</f>
        <v>6450000</v>
      </c>
    </row>
    <row r="203" customFormat="false" ht="15" hidden="false" customHeight="false" outlineLevel="0" collapsed="false">
      <c r="A203" s="14" t="s">
        <v>264</v>
      </c>
      <c r="B203" s="14" t="n">
        <v>7</v>
      </c>
      <c r="C203" s="20" t="n">
        <v>1</v>
      </c>
      <c r="D203" s="6" t="n">
        <f aca="false">INDEX(WBS_MD!$F$2:$F$174,MATCH(A203,WBS_MD!$A$2:$A$174,0))*C203</f>
        <v>8600000</v>
      </c>
    </row>
    <row r="204" customFormat="false" ht="15" hidden="false" customHeight="false" outlineLevel="0" collapsed="false">
      <c r="A204" s="14" t="s">
        <v>266</v>
      </c>
      <c r="B204" s="14" t="n">
        <v>7</v>
      </c>
      <c r="C204" s="20" t="n">
        <v>1</v>
      </c>
      <c r="D204" s="6" t="n">
        <f aca="false">INDEX(WBS_MD!$F$2:$F$174,MATCH(A204,WBS_MD!$A$2:$A$174,0))*C204</f>
        <v>8600000</v>
      </c>
    </row>
    <row r="205" customFormat="false" ht="15" hidden="false" customHeight="false" outlineLevel="0" collapsed="false">
      <c r="A205" s="14" t="s">
        <v>268</v>
      </c>
      <c r="B205" s="14" t="n">
        <v>7</v>
      </c>
      <c r="C205" s="20" t="n">
        <v>1</v>
      </c>
      <c r="D205" s="6" t="n">
        <f aca="false">INDEX(WBS_MD!$F$2:$F$174,MATCH(A205,WBS_MD!$A$2:$A$174,0))*C205</f>
        <v>8400000</v>
      </c>
    </row>
    <row r="206" customFormat="false" ht="15" hidden="false" customHeight="false" outlineLevel="0" collapsed="false">
      <c r="A206" s="14" t="s">
        <v>270</v>
      </c>
      <c r="B206" s="14" t="n">
        <v>7</v>
      </c>
      <c r="C206" s="20" t="n">
        <v>1</v>
      </c>
      <c r="D206" s="6" t="n">
        <f aca="false">INDEX(WBS_MD!$F$2:$F$174,MATCH(A206,WBS_MD!$A$2:$A$174,0))*C206</f>
        <v>8400000</v>
      </c>
    </row>
    <row r="207" customFormat="false" ht="15" hidden="false" customHeight="false" outlineLevel="0" collapsed="false">
      <c r="A207" s="14" t="s">
        <v>272</v>
      </c>
      <c r="B207" s="14" t="n">
        <v>7</v>
      </c>
      <c r="C207" s="20" t="n">
        <v>1</v>
      </c>
      <c r="D207" s="6" t="n">
        <f aca="false">INDEX(WBS_MD!$F$2:$F$174,MATCH(A207,WBS_MD!$A$2:$A$174,0))*C207</f>
        <v>8400000</v>
      </c>
    </row>
    <row r="208" customFormat="false" ht="15" hidden="false" customHeight="false" outlineLevel="0" collapsed="false">
      <c r="A208" s="14" t="s">
        <v>274</v>
      </c>
      <c r="B208" s="14" t="n">
        <v>12</v>
      </c>
      <c r="C208" s="20" t="n">
        <v>1</v>
      </c>
      <c r="D208" s="6" t="n">
        <f aca="false">INDEX(WBS_MD!$F$2:$F$174,MATCH(A208,WBS_MD!$A$2:$A$174,0))*C208</f>
        <v>4300000</v>
      </c>
    </row>
    <row r="209" customFormat="false" ht="15" hidden="false" customHeight="false" outlineLevel="0" collapsed="false">
      <c r="A209" s="14" t="s">
        <v>276</v>
      </c>
      <c r="B209" s="14" t="n">
        <v>7</v>
      </c>
      <c r="C209" s="20" t="n">
        <v>1</v>
      </c>
      <c r="D209" s="6" t="n">
        <f aca="false">INDEX(WBS_MD!$F$2:$F$174,MATCH(A209,WBS_MD!$A$2:$A$174,0))*C209</f>
        <v>10500000</v>
      </c>
    </row>
    <row r="210" customFormat="false" ht="15" hidden="false" customHeight="false" outlineLevel="0" collapsed="false">
      <c r="A210" s="14" t="s">
        <v>278</v>
      </c>
      <c r="B210" s="14" t="n">
        <v>7</v>
      </c>
      <c r="C210" s="20" t="n">
        <v>1</v>
      </c>
      <c r="D210" s="6" t="n">
        <f aca="false">INDEX(WBS_MD!$F$2:$F$174,MATCH(A210,WBS_MD!$A$2:$A$174,0))*C210</f>
        <v>10500000</v>
      </c>
    </row>
    <row r="211" customFormat="false" ht="15" hidden="false" customHeight="false" outlineLevel="0" collapsed="false">
      <c r="A211" s="14" t="s">
        <v>280</v>
      </c>
      <c r="B211" s="14" t="n">
        <v>7</v>
      </c>
      <c r="C211" s="20" t="n">
        <v>1</v>
      </c>
      <c r="D211" s="6" t="n">
        <f aca="false">INDEX(WBS_MD!$F$2:$F$174,MATCH(A211,WBS_MD!$A$2:$A$174,0))*C211</f>
        <v>10500000</v>
      </c>
    </row>
    <row r="212" customFormat="false" ht="15" hidden="false" customHeight="false" outlineLevel="0" collapsed="false">
      <c r="A212" s="14" t="s">
        <v>282</v>
      </c>
      <c r="B212" s="14" t="n">
        <v>7</v>
      </c>
      <c r="C212" s="20" t="n">
        <v>1</v>
      </c>
      <c r="D212" s="6" t="n">
        <f aca="false">INDEX(WBS_MD!$F$2:$F$174,MATCH(A212,WBS_MD!$A$2:$A$174,0))*C212</f>
        <v>10500000</v>
      </c>
    </row>
    <row r="213" customFormat="false" ht="15" hidden="false" customHeight="false" outlineLevel="0" collapsed="false">
      <c r="A213" s="14" t="s">
        <v>284</v>
      </c>
      <c r="B213" s="14" t="n">
        <v>7</v>
      </c>
      <c r="C213" s="20" t="n">
        <v>1</v>
      </c>
      <c r="D213" s="6" t="n">
        <f aca="false">INDEX(WBS_MD!$F$2:$F$174,MATCH(A213,WBS_MD!$A$2:$A$174,0))*C213</f>
        <v>12600000</v>
      </c>
    </row>
    <row r="214" customFormat="false" ht="15" hidden="false" customHeight="false" outlineLevel="0" collapsed="false">
      <c r="A214" s="14" t="s">
        <v>286</v>
      </c>
      <c r="B214" s="14" t="n">
        <v>7</v>
      </c>
      <c r="C214" s="20" t="n">
        <v>1</v>
      </c>
      <c r="D214" s="6" t="n">
        <f aca="false">INDEX(WBS_MD!$F$2:$F$174,MATCH(A214,WBS_MD!$A$2:$A$174,0))*C214</f>
        <v>10500000</v>
      </c>
    </row>
    <row r="215" customFormat="false" ht="15" hidden="false" customHeight="false" outlineLevel="0" collapsed="false">
      <c r="A215" s="14" t="s">
        <v>288</v>
      </c>
      <c r="B215" s="14" t="n">
        <v>7</v>
      </c>
      <c r="C215" s="20" t="n">
        <v>1</v>
      </c>
      <c r="D215" s="6" t="n">
        <f aca="false">INDEX(WBS_MD!$F$2:$F$174,MATCH(A215,WBS_MD!$A$2:$A$174,0))*C215</f>
        <v>12600000</v>
      </c>
    </row>
    <row r="216" customFormat="false" ht="15" hidden="false" customHeight="false" outlineLevel="0" collapsed="false">
      <c r="A216" s="14" t="s">
        <v>290</v>
      </c>
      <c r="B216" s="14" t="n">
        <v>7</v>
      </c>
      <c r="C216" s="20" t="n">
        <v>1</v>
      </c>
      <c r="D216" s="6" t="n">
        <f aca="false">INDEX(WBS_MD!$F$2:$F$174,MATCH(A216,WBS_MD!$A$2:$A$174,0))*C216</f>
        <v>10500000</v>
      </c>
    </row>
    <row r="217" customFormat="false" ht="15" hidden="false" customHeight="false" outlineLevel="0" collapsed="false">
      <c r="A217" s="14" t="s">
        <v>292</v>
      </c>
      <c r="B217" s="14" t="n">
        <v>7</v>
      </c>
      <c r="C217" s="20" t="n">
        <v>1</v>
      </c>
      <c r="D217" s="6" t="n">
        <f aca="false">INDEX(WBS_MD!$F$2:$F$174,MATCH(A217,WBS_MD!$A$2:$A$174,0))*C217</f>
        <v>12600000</v>
      </c>
    </row>
    <row r="218" customFormat="false" ht="15" hidden="false" customHeight="false" outlineLevel="0" collapsed="false">
      <c r="A218" s="14" t="s">
        <v>294</v>
      </c>
      <c r="B218" s="14" t="n">
        <v>7</v>
      </c>
      <c r="C218" s="20" t="n">
        <v>1</v>
      </c>
      <c r="D218" s="6" t="n">
        <f aca="false">INDEX(WBS_MD!$F$2:$F$174,MATCH(A218,WBS_MD!$A$2:$A$174,0))*C218</f>
        <v>10500000</v>
      </c>
    </row>
    <row r="219" customFormat="false" ht="15" hidden="false" customHeight="false" outlineLevel="0" collapsed="false">
      <c r="A219" s="14" t="s">
        <v>296</v>
      </c>
      <c r="B219" s="14" t="n">
        <v>5</v>
      </c>
      <c r="C219" s="20" t="n">
        <v>0.333333333333333</v>
      </c>
      <c r="D219" s="6" t="n">
        <f aca="false">INDEX(WBS_MD!$F$2:$F$174,MATCH(A219,WBS_MD!$A$2:$A$174,0))*C219</f>
        <v>2100000</v>
      </c>
    </row>
    <row r="220" customFormat="false" ht="15" hidden="false" customHeight="false" outlineLevel="0" collapsed="false">
      <c r="A220" s="14" t="s">
        <v>296</v>
      </c>
      <c r="B220" s="14" t="n">
        <v>6</v>
      </c>
      <c r="C220" s="20" t="n">
        <v>0.333333333333333</v>
      </c>
      <c r="D220" s="6" t="n">
        <f aca="false">INDEX(WBS_MD!$F$2:$F$174,MATCH(A220,WBS_MD!$A$2:$A$174,0))*C220</f>
        <v>2100000</v>
      </c>
    </row>
    <row r="221" customFormat="false" ht="15" hidden="false" customHeight="false" outlineLevel="0" collapsed="false">
      <c r="A221" s="14" t="s">
        <v>296</v>
      </c>
      <c r="B221" s="14" t="n">
        <v>7</v>
      </c>
      <c r="C221" s="20" t="n">
        <v>0.333333333333333</v>
      </c>
      <c r="D221" s="6" t="n">
        <f aca="false">INDEX(WBS_MD!$F$2:$F$174,MATCH(A221,WBS_MD!$A$2:$A$174,0))*C221</f>
        <v>2100000</v>
      </c>
    </row>
    <row r="222" customFormat="false" ht="15" hidden="false" customHeight="false" outlineLevel="0" collapsed="false">
      <c r="A222" s="14" t="s">
        <v>298</v>
      </c>
      <c r="B222" s="14" t="n">
        <v>7</v>
      </c>
      <c r="C222" s="20" t="n">
        <v>1</v>
      </c>
      <c r="D222" s="6" t="n">
        <f aca="false">INDEX(WBS_MD!$F$2:$F$174,MATCH(A222,WBS_MD!$A$2:$A$174,0))*C222</f>
        <v>14000000</v>
      </c>
    </row>
    <row r="223" customFormat="false" ht="15" hidden="false" customHeight="false" outlineLevel="0" collapsed="false">
      <c r="A223" s="14" t="s">
        <v>300</v>
      </c>
      <c r="B223" s="14" t="n">
        <v>7</v>
      </c>
      <c r="C223" s="20" t="n">
        <v>1</v>
      </c>
      <c r="D223" s="6" t="n">
        <f aca="false">INDEX(WBS_MD!$F$2:$F$174,MATCH(A223,WBS_MD!$A$2:$A$174,0))*C223</f>
        <v>12000000</v>
      </c>
    </row>
    <row r="224" customFormat="false" ht="15" hidden="false" customHeight="false" outlineLevel="0" collapsed="false">
      <c r="A224" s="14" t="s">
        <v>302</v>
      </c>
      <c r="B224" s="14" t="n">
        <v>7</v>
      </c>
      <c r="C224" s="20" t="n">
        <v>1</v>
      </c>
      <c r="D224" s="6" t="n">
        <f aca="false">INDEX(WBS_MD!$F$2:$F$174,MATCH(A224,WBS_MD!$A$2:$A$174,0))*C224</f>
        <v>18000000</v>
      </c>
    </row>
    <row r="225" customFormat="false" ht="15" hidden="false" customHeight="false" outlineLevel="0" collapsed="false">
      <c r="A225" s="14" t="s">
        <v>304</v>
      </c>
      <c r="B225" s="14" t="n">
        <v>7</v>
      </c>
      <c r="C225" s="20" t="n">
        <v>1</v>
      </c>
      <c r="D225" s="6" t="n">
        <f aca="false">INDEX(WBS_MD!$F$2:$F$174,MATCH(A225,WBS_MD!$A$2:$A$174,0))*C225</f>
        <v>12000000</v>
      </c>
    </row>
    <row r="226" customFormat="false" ht="15" hidden="false" customHeight="false" outlineLevel="0" collapsed="false">
      <c r="A226" s="14" t="s">
        <v>306</v>
      </c>
      <c r="B226" s="14" t="n">
        <v>7</v>
      </c>
      <c r="C226" s="20" t="n">
        <v>1</v>
      </c>
      <c r="D226" s="6" t="n">
        <f aca="false">INDEX(WBS_MD!$F$2:$F$174,MATCH(A226,WBS_MD!$A$2:$A$174,0))*C226</f>
        <v>4200000</v>
      </c>
    </row>
    <row r="227" customFormat="false" ht="15" hidden="false" customHeight="false" outlineLevel="0" collapsed="false">
      <c r="A227" s="14" t="s">
        <v>308</v>
      </c>
      <c r="B227" s="14" t="n">
        <v>7</v>
      </c>
      <c r="C227" s="20" t="n">
        <v>1</v>
      </c>
      <c r="D227" s="6" t="n">
        <f aca="false">INDEX(WBS_MD!$F$2:$F$174,MATCH(A227,WBS_MD!$A$2:$A$174,0))*C227</f>
        <v>12000000</v>
      </c>
    </row>
    <row r="228" customFormat="false" ht="15" hidden="false" customHeight="false" outlineLevel="0" collapsed="false">
      <c r="A228" s="14" t="s">
        <v>310</v>
      </c>
      <c r="B228" s="14" t="n">
        <v>7</v>
      </c>
      <c r="C228" s="20" t="n">
        <v>1</v>
      </c>
      <c r="D228" s="6" t="n">
        <f aca="false">INDEX(WBS_MD!$F$2:$F$174,MATCH(A228,WBS_MD!$A$2:$A$174,0))*C228</f>
        <v>8400000</v>
      </c>
    </row>
    <row r="229" customFormat="false" ht="15" hidden="false" customHeight="false" outlineLevel="0" collapsed="false">
      <c r="A229" s="14" t="s">
        <v>312</v>
      </c>
      <c r="B229" s="14" t="n">
        <v>7</v>
      </c>
      <c r="C229" s="20" t="n">
        <v>1</v>
      </c>
      <c r="D229" s="6" t="n">
        <f aca="false">INDEX(WBS_MD!$F$2:$F$174,MATCH(A229,WBS_MD!$A$2:$A$174,0))*C229</f>
        <v>4200000</v>
      </c>
    </row>
    <row r="230" customFormat="false" ht="15" hidden="false" customHeight="false" outlineLevel="0" collapsed="false">
      <c r="A230" s="14" t="s">
        <v>314</v>
      </c>
      <c r="B230" s="14" t="n">
        <v>7</v>
      </c>
      <c r="C230" s="20" t="n">
        <v>1</v>
      </c>
      <c r="D230" s="6" t="n">
        <f aca="false">INDEX(WBS_MD!$F$2:$F$174,MATCH(A230,WBS_MD!$A$2:$A$174,0))*C230</f>
        <v>6450000</v>
      </c>
    </row>
    <row r="231" customFormat="false" ht="15" hidden="false" customHeight="false" outlineLevel="0" collapsed="false">
      <c r="A231" s="14" t="s">
        <v>316</v>
      </c>
      <c r="B231" s="14" t="n">
        <v>10</v>
      </c>
      <c r="C231" s="20" t="n">
        <v>1</v>
      </c>
      <c r="D231" s="6" t="n">
        <f aca="false">INDEX(WBS_MD!$F$2:$F$174,MATCH(A231,WBS_MD!$A$2:$A$174,0))*C231</f>
        <v>10000000</v>
      </c>
    </row>
    <row r="232" customFormat="false" ht="15" hidden="false" customHeight="false" outlineLevel="0" collapsed="false">
      <c r="A232" s="14" t="s">
        <v>318</v>
      </c>
      <c r="B232" s="14" t="n">
        <v>11</v>
      </c>
      <c r="C232" s="20" t="n">
        <v>1</v>
      </c>
      <c r="D232" s="6" t="n">
        <f aca="false">INDEX(WBS_MD!$F$2:$F$174,MATCH(A232,WBS_MD!$A$2:$A$174,0))*C232</f>
        <v>6000000</v>
      </c>
    </row>
    <row r="233" customFormat="false" ht="15" hidden="false" customHeight="false" outlineLevel="0" collapsed="false">
      <c r="A233" s="14" t="s">
        <v>320</v>
      </c>
      <c r="B233" s="14" t="n">
        <v>10</v>
      </c>
      <c r="C233" s="20" t="n">
        <v>1</v>
      </c>
      <c r="D233" s="6" t="n">
        <f aca="false">INDEX(WBS_MD!$F$2:$F$174,MATCH(A233,WBS_MD!$A$2:$A$174,0))*C233</f>
        <v>20000000</v>
      </c>
    </row>
    <row r="234" customFormat="false" ht="15" hidden="false" customHeight="false" outlineLevel="0" collapsed="false">
      <c r="A234" s="14" t="s">
        <v>322</v>
      </c>
      <c r="B234" s="14" t="n">
        <v>11</v>
      </c>
      <c r="C234" s="20" t="n">
        <v>1</v>
      </c>
      <c r="D234" s="6" t="n">
        <f aca="false">INDEX(WBS_MD!$F$2:$F$174,MATCH(A234,WBS_MD!$A$2:$A$174,0))*C234</f>
        <v>16000000</v>
      </c>
    </row>
    <row r="235" customFormat="false" ht="15" hidden="false" customHeight="false" outlineLevel="0" collapsed="false">
      <c r="A235" s="14" t="s">
        <v>324</v>
      </c>
      <c r="B235" s="14" t="n">
        <v>11</v>
      </c>
      <c r="C235" s="20" t="n">
        <v>1</v>
      </c>
      <c r="D235" s="6" t="n">
        <f aca="false">INDEX(WBS_MD!$F$2:$F$174,MATCH(A235,WBS_MD!$A$2:$A$174,0))*C235</f>
        <v>16800000</v>
      </c>
    </row>
    <row r="236" customFormat="false" ht="15" hidden="false" customHeight="false" outlineLevel="0" collapsed="false">
      <c r="A236" s="14" t="s">
        <v>326</v>
      </c>
      <c r="B236" s="14" t="n">
        <v>12</v>
      </c>
      <c r="C236" s="20" t="n">
        <v>1</v>
      </c>
      <c r="D236" s="6" t="n">
        <f aca="false">INDEX(WBS_MD!$F$2:$F$174,MATCH(A236,WBS_MD!$A$2:$A$174,0))*C236</f>
        <v>6450000</v>
      </c>
    </row>
    <row r="237" customFormat="false" ht="15" hidden="false" customHeight="false" outlineLevel="0" collapsed="false">
      <c r="A237" s="14" t="s">
        <v>328</v>
      </c>
      <c r="B237" s="14" t="n">
        <v>13</v>
      </c>
      <c r="C237" s="20" t="n">
        <v>1</v>
      </c>
      <c r="D237" s="6" t="n">
        <f aca="false">INDEX(WBS_MD!$F$2:$F$174,MATCH(A237,WBS_MD!$A$2:$A$174,0))*C237</f>
        <v>10400000</v>
      </c>
    </row>
    <row r="238" customFormat="false" ht="15" hidden="false" customHeight="false" outlineLevel="0" collapsed="false">
      <c r="A238" s="14" t="s">
        <v>330</v>
      </c>
      <c r="B238" s="14" t="n">
        <v>13</v>
      </c>
      <c r="C238" s="20" t="n">
        <v>1</v>
      </c>
      <c r="D238" s="6" t="n">
        <f aca="false">INDEX(WBS_MD!$F$2:$F$174,MATCH(A238,WBS_MD!$A$2:$A$174,0))*C238</f>
        <v>7800000</v>
      </c>
    </row>
    <row r="239" customFormat="false" ht="15" hidden="false" customHeight="false" outlineLevel="0" collapsed="false">
      <c r="A239" s="14" t="s">
        <v>332</v>
      </c>
      <c r="B239" s="14" t="n">
        <v>13</v>
      </c>
      <c r="C239" s="20" t="n">
        <v>1</v>
      </c>
      <c r="D239" s="6" t="n">
        <f aca="false">INDEX(WBS_MD!$F$2:$F$174,MATCH(A239,WBS_MD!$A$2:$A$174,0))*C239</f>
        <v>4200000</v>
      </c>
    </row>
    <row r="240" customFormat="false" ht="15" hidden="false" customHeight="false" outlineLevel="0" collapsed="false">
      <c r="A240" s="14" t="s">
        <v>334</v>
      </c>
      <c r="B240" s="14" t="n">
        <v>1</v>
      </c>
      <c r="C240" s="20" t="n">
        <v>0.0769230769230769</v>
      </c>
      <c r="D240" s="6" t="n">
        <f aca="false">INDEX(WBS_MD!$F$2:$F$174,MATCH(A240,WBS_MD!$A$2:$A$174,0))*C240</f>
        <v>740384.615384615</v>
      </c>
    </row>
    <row r="241" customFormat="false" ht="15" hidden="false" customHeight="false" outlineLevel="0" collapsed="false">
      <c r="A241" s="14" t="s">
        <v>334</v>
      </c>
      <c r="B241" s="14" t="n">
        <v>2</v>
      </c>
      <c r="C241" s="20" t="n">
        <v>0.0769230769230769</v>
      </c>
      <c r="D241" s="6" t="n">
        <f aca="false">INDEX(WBS_MD!$F$2:$F$174,MATCH(A241,WBS_MD!$A$2:$A$174,0))*C241</f>
        <v>740384.615384615</v>
      </c>
    </row>
    <row r="242" customFormat="false" ht="15" hidden="false" customHeight="false" outlineLevel="0" collapsed="false">
      <c r="A242" s="14" t="s">
        <v>334</v>
      </c>
      <c r="B242" s="14" t="n">
        <v>3</v>
      </c>
      <c r="C242" s="20" t="n">
        <v>0.0769230769230769</v>
      </c>
      <c r="D242" s="6" t="n">
        <f aca="false">INDEX(WBS_MD!$F$2:$F$174,MATCH(A242,WBS_MD!$A$2:$A$174,0))*C242</f>
        <v>740384.615384615</v>
      </c>
    </row>
    <row r="243" customFormat="false" ht="15" hidden="false" customHeight="false" outlineLevel="0" collapsed="false">
      <c r="A243" s="14" t="s">
        <v>334</v>
      </c>
      <c r="B243" s="14" t="n">
        <v>4</v>
      </c>
      <c r="C243" s="20" t="n">
        <v>0.0769230769230769</v>
      </c>
      <c r="D243" s="6" t="n">
        <f aca="false">INDEX(WBS_MD!$F$2:$F$174,MATCH(A243,WBS_MD!$A$2:$A$174,0))*C243</f>
        <v>740384.615384615</v>
      </c>
    </row>
    <row r="244" customFormat="false" ht="15" hidden="false" customHeight="false" outlineLevel="0" collapsed="false">
      <c r="A244" s="14" t="s">
        <v>334</v>
      </c>
      <c r="B244" s="14" t="n">
        <v>5</v>
      </c>
      <c r="C244" s="20" t="n">
        <v>0.0769230769230769</v>
      </c>
      <c r="D244" s="6" t="n">
        <f aca="false">INDEX(WBS_MD!$F$2:$F$174,MATCH(A244,WBS_MD!$A$2:$A$174,0))*C244</f>
        <v>740384.615384615</v>
      </c>
    </row>
    <row r="245" customFormat="false" ht="15" hidden="false" customHeight="false" outlineLevel="0" collapsed="false">
      <c r="A245" s="14" t="s">
        <v>334</v>
      </c>
      <c r="B245" s="14" t="n">
        <v>6</v>
      </c>
      <c r="C245" s="20" t="n">
        <v>0.0769230769230769</v>
      </c>
      <c r="D245" s="6" t="n">
        <f aca="false">INDEX(WBS_MD!$F$2:$F$174,MATCH(A245,WBS_MD!$A$2:$A$174,0))*C245</f>
        <v>740384.615384615</v>
      </c>
    </row>
    <row r="246" customFormat="false" ht="15" hidden="false" customHeight="false" outlineLevel="0" collapsed="false">
      <c r="A246" s="14" t="s">
        <v>334</v>
      </c>
      <c r="B246" s="14" t="n">
        <v>7</v>
      </c>
      <c r="C246" s="20" t="n">
        <v>0.0769230769230769</v>
      </c>
      <c r="D246" s="6" t="n">
        <f aca="false">INDEX(WBS_MD!$F$2:$F$174,MATCH(A246,WBS_MD!$A$2:$A$174,0))*C246</f>
        <v>740384.615384615</v>
      </c>
    </row>
    <row r="247" customFormat="false" ht="15" hidden="false" customHeight="false" outlineLevel="0" collapsed="false">
      <c r="A247" s="14" t="s">
        <v>334</v>
      </c>
      <c r="B247" s="14" t="n">
        <v>8</v>
      </c>
      <c r="C247" s="20" t="n">
        <v>0.0769230769230769</v>
      </c>
      <c r="D247" s="6" t="n">
        <f aca="false">INDEX(WBS_MD!$F$2:$F$174,MATCH(A247,WBS_MD!$A$2:$A$174,0))*C247</f>
        <v>740384.615384615</v>
      </c>
    </row>
    <row r="248" customFormat="false" ht="15" hidden="false" customHeight="false" outlineLevel="0" collapsed="false">
      <c r="A248" s="14" t="s">
        <v>334</v>
      </c>
      <c r="B248" s="14" t="n">
        <v>9</v>
      </c>
      <c r="C248" s="20" t="n">
        <v>0.0769230769230769</v>
      </c>
      <c r="D248" s="6" t="n">
        <f aca="false">INDEX(WBS_MD!$F$2:$F$174,MATCH(A248,WBS_MD!$A$2:$A$174,0))*C248</f>
        <v>740384.615384615</v>
      </c>
    </row>
    <row r="249" customFormat="false" ht="15" hidden="false" customHeight="false" outlineLevel="0" collapsed="false">
      <c r="A249" s="14" t="s">
        <v>334</v>
      </c>
      <c r="B249" s="14" t="n">
        <v>10</v>
      </c>
      <c r="C249" s="20" t="n">
        <v>0.0769230769230769</v>
      </c>
      <c r="D249" s="6" t="n">
        <f aca="false">INDEX(WBS_MD!$F$2:$F$174,MATCH(A249,WBS_MD!$A$2:$A$174,0))*C249</f>
        <v>740384.615384615</v>
      </c>
    </row>
    <row r="250" customFormat="false" ht="15" hidden="false" customHeight="false" outlineLevel="0" collapsed="false">
      <c r="A250" s="14" t="s">
        <v>334</v>
      </c>
      <c r="B250" s="14" t="n">
        <v>11</v>
      </c>
      <c r="C250" s="20" t="n">
        <v>0.0769230769230769</v>
      </c>
      <c r="D250" s="6" t="n">
        <f aca="false">INDEX(WBS_MD!$F$2:$F$174,MATCH(A250,WBS_MD!$A$2:$A$174,0))*C250</f>
        <v>740384.615384615</v>
      </c>
    </row>
    <row r="251" customFormat="false" ht="15" hidden="false" customHeight="false" outlineLevel="0" collapsed="false">
      <c r="A251" s="14" t="s">
        <v>334</v>
      </c>
      <c r="B251" s="14" t="n">
        <v>12</v>
      </c>
      <c r="C251" s="20" t="n">
        <v>0.0769230769230769</v>
      </c>
      <c r="D251" s="6" t="n">
        <f aca="false">INDEX(WBS_MD!$F$2:$F$174,MATCH(A251,WBS_MD!$A$2:$A$174,0))*C251</f>
        <v>740384.615384615</v>
      </c>
    </row>
    <row r="252" customFormat="false" ht="15" hidden="false" customHeight="false" outlineLevel="0" collapsed="false">
      <c r="A252" s="14" t="s">
        <v>334</v>
      </c>
      <c r="B252" s="14" t="n">
        <v>13</v>
      </c>
      <c r="C252" s="20" t="n">
        <v>0.0769230769230769</v>
      </c>
      <c r="D252" s="6" t="n">
        <f aca="false">INDEX(WBS_MD!$F$2:$F$174,MATCH(A252,WBS_MD!$A$2:$A$174,0))*C252</f>
        <v>740384.615384615</v>
      </c>
    </row>
    <row r="253" customFormat="false" ht="15" hidden="false" customHeight="false" outlineLevel="0" collapsed="false">
      <c r="A253" s="14" t="s">
        <v>337</v>
      </c>
      <c r="B253" s="14" t="n">
        <v>1</v>
      </c>
      <c r="C253" s="20" t="n">
        <v>0.0769230769230769</v>
      </c>
      <c r="D253" s="6" t="n">
        <f aca="false">INDEX(WBS_MD!$F$2:$F$174,MATCH(A253,WBS_MD!$A$2:$A$174,0))*C253</f>
        <v>423076.923076923</v>
      </c>
    </row>
    <row r="254" customFormat="false" ht="15" hidden="false" customHeight="false" outlineLevel="0" collapsed="false">
      <c r="A254" s="14" t="s">
        <v>337</v>
      </c>
      <c r="B254" s="14" t="n">
        <v>2</v>
      </c>
      <c r="C254" s="20" t="n">
        <v>0.0769230769230769</v>
      </c>
      <c r="D254" s="6" t="n">
        <f aca="false">INDEX(WBS_MD!$F$2:$F$174,MATCH(A254,WBS_MD!$A$2:$A$174,0))*C254</f>
        <v>423076.923076923</v>
      </c>
    </row>
    <row r="255" customFormat="false" ht="15" hidden="false" customHeight="false" outlineLevel="0" collapsed="false">
      <c r="A255" s="14" t="s">
        <v>337</v>
      </c>
      <c r="B255" s="14" t="n">
        <v>3</v>
      </c>
      <c r="C255" s="20" t="n">
        <v>0.0769230769230769</v>
      </c>
      <c r="D255" s="6" t="n">
        <f aca="false">INDEX(WBS_MD!$F$2:$F$174,MATCH(A255,WBS_MD!$A$2:$A$174,0))*C255</f>
        <v>423076.923076923</v>
      </c>
    </row>
    <row r="256" customFormat="false" ht="15" hidden="false" customHeight="false" outlineLevel="0" collapsed="false">
      <c r="A256" s="14" t="s">
        <v>337</v>
      </c>
      <c r="B256" s="14" t="n">
        <v>4</v>
      </c>
      <c r="C256" s="20" t="n">
        <v>0.0769230769230769</v>
      </c>
      <c r="D256" s="6" t="n">
        <f aca="false">INDEX(WBS_MD!$F$2:$F$174,MATCH(A256,WBS_MD!$A$2:$A$174,0))*C256</f>
        <v>423076.923076923</v>
      </c>
    </row>
    <row r="257" customFormat="false" ht="15" hidden="false" customHeight="false" outlineLevel="0" collapsed="false">
      <c r="A257" s="14" t="s">
        <v>337</v>
      </c>
      <c r="B257" s="14" t="n">
        <v>5</v>
      </c>
      <c r="C257" s="20" t="n">
        <v>0.0769230769230769</v>
      </c>
      <c r="D257" s="6" t="n">
        <f aca="false">INDEX(WBS_MD!$F$2:$F$174,MATCH(A257,WBS_MD!$A$2:$A$174,0))*C257</f>
        <v>423076.923076923</v>
      </c>
    </row>
    <row r="258" customFormat="false" ht="15" hidden="false" customHeight="false" outlineLevel="0" collapsed="false">
      <c r="A258" s="14" t="s">
        <v>337</v>
      </c>
      <c r="B258" s="14" t="n">
        <v>6</v>
      </c>
      <c r="C258" s="20" t="n">
        <v>0.0769230769230769</v>
      </c>
      <c r="D258" s="6" t="n">
        <f aca="false">INDEX(WBS_MD!$F$2:$F$174,MATCH(A258,WBS_MD!$A$2:$A$174,0))*C258</f>
        <v>423076.923076923</v>
      </c>
    </row>
    <row r="259" customFormat="false" ht="15" hidden="false" customHeight="false" outlineLevel="0" collapsed="false">
      <c r="A259" s="14" t="s">
        <v>337</v>
      </c>
      <c r="B259" s="14" t="n">
        <v>7</v>
      </c>
      <c r="C259" s="20" t="n">
        <v>0.0769230769230769</v>
      </c>
      <c r="D259" s="6" t="n">
        <f aca="false">INDEX(WBS_MD!$F$2:$F$174,MATCH(A259,WBS_MD!$A$2:$A$174,0))*C259</f>
        <v>423076.923076923</v>
      </c>
    </row>
    <row r="260" customFormat="false" ht="15" hidden="false" customHeight="false" outlineLevel="0" collapsed="false">
      <c r="A260" s="14" t="s">
        <v>337</v>
      </c>
      <c r="B260" s="14" t="n">
        <v>8</v>
      </c>
      <c r="C260" s="20" t="n">
        <v>0.0769230769230769</v>
      </c>
      <c r="D260" s="6" t="n">
        <f aca="false">INDEX(WBS_MD!$F$2:$F$174,MATCH(A260,WBS_MD!$A$2:$A$174,0))*C260</f>
        <v>423076.923076923</v>
      </c>
    </row>
    <row r="261" customFormat="false" ht="15" hidden="false" customHeight="false" outlineLevel="0" collapsed="false">
      <c r="A261" s="14" t="s">
        <v>337</v>
      </c>
      <c r="B261" s="14" t="n">
        <v>9</v>
      </c>
      <c r="C261" s="20" t="n">
        <v>0.0769230769230769</v>
      </c>
      <c r="D261" s="6" t="n">
        <f aca="false">INDEX(WBS_MD!$F$2:$F$174,MATCH(A261,WBS_MD!$A$2:$A$174,0))*C261</f>
        <v>423076.923076923</v>
      </c>
    </row>
    <row r="262" customFormat="false" ht="15" hidden="false" customHeight="false" outlineLevel="0" collapsed="false">
      <c r="A262" s="14" t="s">
        <v>337</v>
      </c>
      <c r="B262" s="14" t="n">
        <v>10</v>
      </c>
      <c r="C262" s="20" t="n">
        <v>0.0769230769230769</v>
      </c>
      <c r="D262" s="6" t="n">
        <f aca="false">INDEX(WBS_MD!$F$2:$F$174,MATCH(A262,WBS_MD!$A$2:$A$174,0))*C262</f>
        <v>423076.923076923</v>
      </c>
    </row>
    <row r="263" customFormat="false" ht="15" hidden="false" customHeight="false" outlineLevel="0" collapsed="false">
      <c r="A263" s="14" t="s">
        <v>337</v>
      </c>
      <c r="B263" s="14" t="n">
        <v>11</v>
      </c>
      <c r="C263" s="20" t="n">
        <v>0.0769230769230769</v>
      </c>
      <c r="D263" s="6" t="n">
        <f aca="false">INDEX(WBS_MD!$F$2:$F$174,MATCH(A263,WBS_MD!$A$2:$A$174,0))*C263</f>
        <v>423076.923076923</v>
      </c>
    </row>
    <row r="264" customFormat="false" ht="15" hidden="false" customHeight="false" outlineLevel="0" collapsed="false">
      <c r="A264" s="14" t="s">
        <v>337</v>
      </c>
      <c r="B264" s="14" t="n">
        <v>12</v>
      </c>
      <c r="C264" s="20" t="n">
        <v>0.0769230769230769</v>
      </c>
      <c r="D264" s="6" t="n">
        <f aca="false">INDEX(WBS_MD!$F$2:$F$174,MATCH(A264,WBS_MD!$A$2:$A$174,0))*C264</f>
        <v>423076.923076923</v>
      </c>
    </row>
    <row r="265" customFormat="false" ht="15" hidden="false" customHeight="false" outlineLevel="0" collapsed="false">
      <c r="A265" s="14" t="s">
        <v>337</v>
      </c>
      <c r="B265" s="14" t="n">
        <v>13</v>
      </c>
      <c r="C265" s="20" t="n">
        <v>0.0769230769230769</v>
      </c>
      <c r="D265" s="6" t="n">
        <f aca="false">INDEX(WBS_MD!$F$2:$F$174,MATCH(A265,WBS_MD!$A$2:$A$174,0))*C265</f>
        <v>423076.923076923</v>
      </c>
    </row>
    <row r="266" customFormat="false" ht="15" hidden="false" customHeight="false" outlineLevel="0" collapsed="false">
      <c r="A266" s="14" t="s">
        <v>339</v>
      </c>
      <c r="B266" s="14" t="n">
        <v>1</v>
      </c>
      <c r="C266" s="20" t="n">
        <v>0.0769230769230769</v>
      </c>
      <c r="D266" s="6" t="n">
        <f aca="false">INDEX(WBS_MD!$F$2:$F$174,MATCH(A266,WBS_MD!$A$2:$A$174,0))*C266</f>
        <v>740384.615384615</v>
      </c>
    </row>
    <row r="267" customFormat="false" ht="15" hidden="false" customHeight="false" outlineLevel="0" collapsed="false">
      <c r="A267" s="14" t="s">
        <v>339</v>
      </c>
      <c r="B267" s="14" t="n">
        <v>2</v>
      </c>
      <c r="C267" s="20" t="n">
        <v>0.0769230769230769</v>
      </c>
      <c r="D267" s="6" t="n">
        <f aca="false">INDEX(WBS_MD!$F$2:$F$174,MATCH(A267,WBS_MD!$A$2:$A$174,0))*C267</f>
        <v>740384.615384615</v>
      </c>
    </row>
    <row r="268" customFormat="false" ht="15" hidden="false" customHeight="false" outlineLevel="0" collapsed="false">
      <c r="A268" s="14" t="s">
        <v>339</v>
      </c>
      <c r="B268" s="14" t="n">
        <v>3</v>
      </c>
      <c r="C268" s="20" t="n">
        <v>0.0769230769230769</v>
      </c>
      <c r="D268" s="6" t="n">
        <f aca="false">INDEX(WBS_MD!$F$2:$F$174,MATCH(A268,WBS_MD!$A$2:$A$174,0))*C268</f>
        <v>740384.615384615</v>
      </c>
    </row>
    <row r="269" customFormat="false" ht="15" hidden="false" customHeight="false" outlineLevel="0" collapsed="false">
      <c r="A269" s="14" t="s">
        <v>339</v>
      </c>
      <c r="B269" s="14" t="n">
        <v>4</v>
      </c>
      <c r="C269" s="20" t="n">
        <v>0.0769230769230769</v>
      </c>
      <c r="D269" s="6" t="n">
        <f aca="false">INDEX(WBS_MD!$F$2:$F$174,MATCH(A269,WBS_MD!$A$2:$A$174,0))*C269</f>
        <v>740384.615384615</v>
      </c>
    </row>
    <row r="270" customFormat="false" ht="15" hidden="false" customHeight="false" outlineLevel="0" collapsed="false">
      <c r="A270" s="14" t="s">
        <v>339</v>
      </c>
      <c r="B270" s="14" t="n">
        <v>5</v>
      </c>
      <c r="C270" s="20" t="n">
        <v>0.0769230769230769</v>
      </c>
      <c r="D270" s="6" t="n">
        <f aca="false">INDEX(WBS_MD!$F$2:$F$174,MATCH(A270,WBS_MD!$A$2:$A$174,0))*C270</f>
        <v>740384.615384615</v>
      </c>
    </row>
    <row r="271" customFormat="false" ht="15" hidden="false" customHeight="false" outlineLevel="0" collapsed="false">
      <c r="A271" s="14" t="s">
        <v>339</v>
      </c>
      <c r="B271" s="14" t="n">
        <v>6</v>
      </c>
      <c r="C271" s="20" t="n">
        <v>0.0769230769230769</v>
      </c>
      <c r="D271" s="6" t="n">
        <f aca="false">INDEX(WBS_MD!$F$2:$F$174,MATCH(A271,WBS_MD!$A$2:$A$174,0))*C271</f>
        <v>740384.615384615</v>
      </c>
    </row>
    <row r="272" customFormat="false" ht="15" hidden="false" customHeight="false" outlineLevel="0" collapsed="false">
      <c r="A272" s="14" t="s">
        <v>339</v>
      </c>
      <c r="B272" s="14" t="n">
        <v>7</v>
      </c>
      <c r="C272" s="20" t="n">
        <v>0.0769230769230769</v>
      </c>
      <c r="D272" s="6" t="n">
        <f aca="false">INDEX(WBS_MD!$F$2:$F$174,MATCH(A272,WBS_MD!$A$2:$A$174,0))*C272</f>
        <v>740384.615384615</v>
      </c>
    </row>
    <row r="273" customFormat="false" ht="15" hidden="false" customHeight="false" outlineLevel="0" collapsed="false">
      <c r="A273" s="14" t="s">
        <v>339</v>
      </c>
      <c r="B273" s="14" t="n">
        <v>8</v>
      </c>
      <c r="C273" s="20" t="n">
        <v>0.0769230769230769</v>
      </c>
      <c r="D273" s="6" t="n">
        <f aca="false">INDEX(WBS_MD!$F$2:$F$174,MATCH(A273,WBS_MD!$A$2:$A$174,0))*C273</f>
        <v>740384.615384615</v>
      </c>
    </row>
    <row r="274" customFormat="false" ht="15" hidden="false" customHeight="false" outlineLevel="0" collapsed="false">
      <c r="A274" s="14" t="s">
        <v>339</v>
      </c>
      <c r="B274" s="14" t="n">
        <v>9</v>
      </c>
      <c r="C274" s="20" t="n">
        <v>0.0769230769230769</v>
      </c>
      <c r="D274" s="6" t="n">
        <f aca="false">INDEX(WBS_MD!$F$2:$F$174,MATCH(A274,WBS_MD!$A$2:$A$174,0))*C274</f>
        <v>740384.615384615</v>
      </c>
    </row>
    <row r="275" customFormat="false" ht="15" hidden="false" customHeight="false" outlineLevel="0" collapsed="false">
      <c r="A275" s="14" t="s">
        <v>339</v>
      </c>
      <c r="B275" s="14" t="n">
        <v>10</v>
      </c>
      <c r="C275" s="20" t="n">
        <v>0.0769230769230769</v>
      </c>
      <c r="D275" s="6" t="n">
        <f aca="false">INDEX(WBS_MD!$F$2:$F$174,MATCH(A275,WBS_MD!$A$2:$A$174,0))*C275</f>
        <v>740384.615384615</v>
      </c>
    </row>
    <row r="276" customFormat="false" ht="15" hidden="false" customHeight="false" outlineLevel="0" collapsed="false">
      <c r="A276" s="14" t="s">
        <v>339</v>
      </c>
      <c r="B276" s="14" t="n">
        <v>11</v>
      </c>
      <c r="C276" s="20" t="n">
        <v>0.0769230769230769</v>
      </c>
      <c r="D276" s="6" t="n">
        <f aca="false">INDEX(WBS_MD!$F$2:$F$174,MATCH(A276,WBS_MD!$A$2:$A$174,0))*C276</f>
        <v>740384.615384615</v>
      </c>
    </row>
    <row r="277" customFormat="false" ht="15" hidden="false" customHeight="false" outlineLevel="0" collapsed="false">
      <c r="A277" s="14" t="s">
        <v>339</v>
      </c>
      <c r="B277" s="14" t="n">
        <v>12</v>
      </c>
      <c r="C277" s="20" t="n">
        <v>0.0769230769230769</v>
      </c>
      <c r="D277" s="6" t="n">
        <f aca="false">INDEX(WBS_MD!$F$2:$F$174,MATCH(A277,WBS_MD!$A$2:$A$174,0))*C277</f>
        <v>740384.615384615</v>
      </c>
    </row>
    <row r="278" customFormat="false" ht="15" hidden="false" customHeight="false" outlineLevel="0" collapsed="false">
      <c r="A278" s="14" t="s">
        <v>339</v>
      </c>
      <c r="B278" s="14" t="n">
        <v>13</v>
      </c>
      <c r="C278" s="20" t="n">
        <v>0.0769230769230769</v>
      </c>
      <c r="D278" s="6" t="n">
        <f aca="false">INDEX(WBS_MD!$F$2:$F$174,MATCH(A278,WBS_MD!$A$2:$A$174,0))*C278</f>
        <v>740384.615384615</v>
      </c>
    </row>
    <row r="279" customFormat="false" ht="15" hidden="false" customHeight="false" outlineLevel="0" collapsed="false">
      <c r="A279" s="14" t="s">
        <v>341</v>
      </c>
      <c r="B279" s="14" t="n">
        <v>1</v>
      </c>
      <c r="C279" s="20" t="n">
        <v>1</v>
      </c>
      <c r="D279" s="6" t="n">
        <f aca="false">INDEX(WBS_MD!$F$2:$F$174,MATCH(A279,WBS_MD!$A$2:$A$174,0))*C279</f>
        <v>8600000</v>
      </c>
    </row>
    <row r="280" customFormat="false" ht="15" hidden="false" customHeight="false" outlineLevel="0" collapsed="false">
      <c r="A280" s="14" t="s">
        <v>343</v>
      </c>
      <c r="B280" s="14" t="n">
        <v>1</v>
      </c>
      <c r="C280" s="20" t="n">
        <v>1</v>
      </c>
      <c r="D280" s="6" t="n">
        <f aca="false">INDEX(WBS_MD!$F$2:$F$174,MATCH(A280,WBS_MD!$A$2:$A$174,0))*C280</f>
        <v>10500000</v>
      </c>
    </row>
    <row r="281" customFormat="false" ht="15" hidden="false" customHeight="false" outlineLevel="0" collapsed="false">
      <c r="A281" s="14" t="s">
        <v>345</v>
      </c>
      <c r="B281" s="14" t="n">
        <v>3</v>
      </c>
      <c r="C281" s="20" t="n">
        <v>1</v>
      </c>
      <c r="D281" s="6" t="n">
        <f aca="false">INDEX(WBS_MD!$F$2:$F$174,MATCH(A281,WBS_MD!$A$2:$A$174,0))*C281</f>
        <v>10500000</v>
      </c>
    </row>
    <row r="282" customFormat="false" ht="15" hidden="false" customHeight="false" outlineLevel="0" collapsed="false">
      <c r="A282" s="14" t="s">
        <v>347</v>
      </c>
      <c r="B282" s="14" t="n">
        <v>1</v>
      </c>
      <c r="C282" s="20" t="n">
        <v>1</v>
      </c>
      <c r="D282" s="6" t="n">
        <f aca="false">INDEX(WBS_MD!$F$2:$F$174,MATCH(A282,WBS_MD!$A$2:$A$174,0))*C282</f>
        <v>7800000</v>
      </c>
    </row>
    <row r="283" customFormat="false" ht="15" hidden="false" customHeight="false" outlineLevel="0" collapsed="false">
      <c r="A283" s="14" t="s">
        <v>349</v>
      </c>
      <c r="B283" s="14" t="n">
        <v>9</v>
      </c>
      <c r="C283" s="20" t="n">
        <v>1</v>
      </c>
      <c r="D283" s="6" t="n">
        <f aca="false">INDEX(WBS_MD!$F$2:$F$174,MATCH(A283,WBS_MD!$A$2:$A$174,0))*C283</f>
        <v>8600000</v>
      </c>
    </row>
    <row r="284" customFormat="false" ht="15" hidden="false" customHeight="false" outlineLevel="0" collapsed="false">
      <c r="A284" s="14" t="s">
        <v>351</v>
      </c>
      <c r="B284" s="14" t="n">
        <v>9</v>
      </c>
      <c r="C284" s="20" t="n">
        <v>1</v>
      </c>
      <c r="D284" s="6" t="n">
        <f aca="false">INDEX(WBS_MD!$F$2:$F$174,MATCH(A284,WBS_MD!$A$2:$A$174,0))*C284</f>
        <v>4300000</v>
      </c>
    </row>
    <row r="285" customFormat="false" ht="15" hidden="false" customHeight="false" outlineLevel="0" collapsed="false">
      <c r="A285" s="14" t="s">
        <v>353</v>
      </c>
      <c r="B285" s="14" t="n">
        <v>9</v>
      </c>
      <c r="C285" s="20" t="n">
        <v>1</v>
      </c>
      <c r="D285" s="6" t="n">
        <f aca="false">INDEX(WBS_MD!$F$2:$F$174,MATCH(A285,WBS_MD!$A$2:$A$174,0))*C285</f>
        <v>8400000</v>
      </c>
    </row>
    <row r="286" customFormat="false" ht="15" hidden="false" customHeight="false" outlineLevel="0" collapsed="false">
      <c r="A286" s="14" t="s">
        <v>355</v>
      </c>
      <c r="B286" s="14" t="n">
        <v>5</v>
      </c>
      <c r="C286" s="20" t="n">
        <v>0.25</v>
      </c>
      <c r="D286" s="6" t="n">
        <f aca="false">INDEX(WBS_MD!$F$2:$F$174,MATCH(A286,WBS_MD!$A$2:$A$174,0))*C286</f>
        <v>4200000</v>
      </c>
    </row>
    <row r="287" customFormat="false" ht="15" hidden="false" customHeight="false" outlineLevel="0" collapsed="false">
      <c r="A287" s="14" t="s">
        <v>355</v>
      </c>
      <c r="B287" s="14" t="n">
        <v>6</v>
      </c>
      <c r="C287" s="20" t="n">
        <v>0.25</v>
      </c>
      <c r="D287" s="6" t="n">
        <f aca="false">INDEX(WBS_MD!$F$2:$F$174,MATCH(A287,WBS_MD!$A$2:$A$174,0))*C287</f>
        <v>4200000</v>
      </c>
    </row>
    <row r="288" customFormat="false" ht="15" hidden="false" customHeight="false" outlineLevel="0" collapsed="false">
      <c r="A288" s="14" t="s">
        <v>355</v>
      </c>
      <c r="B288" s="14" t="n">
        <v>7</v>
      </c>
      <c r="C288" s="20" t="n">
        <v>0.25</v>
      </c>
      <c r="D288" s="6" t="n">
        <f aca="false">INDEX(WBS_MD!$F$2:$F$174,MATCH(A288,WBS_MD!$A$2:$A$174,0))*C288</f>
        <v>4200000</v>
      </c>
    </row>
    <row r="289" customFormat="false" ht="15" hidden="false" customHeight="false" outlineLevel="0" collapsed="false">
      <c r="A289" s="14" t="s">
        <v>355</v>
      </c>
      <c r="B289" s="14" t="n">
        <v>8</v>
      </c>
      <c r="C289" s="20" t="n">
        <v>0.25</v>
      </c>
      <c r="D289" s="6" t="n">
        <f aca="false">INDEX(WBS_MD!$F$2:$F$174,MATCH(A289,WBS_MD!$A$2:$A$174,0))*C289</f>
        <v>4200000</v>
      </c>
    </row>
    <row r="290" customFormat="false" ht="15" hidden="false" customHeight="false" outlineLevel="0" collapsed="false">
      <c r="A290" s="14" t="s">
        <v>357</v>
      </c>
      <c r="B290" s="14" t="n">
        <v>8</v>
      </c>
      <c r="C290" s="20" t="n">
        <v>1</v>
      </c>
      <c r="D290" s="6" t="n">
        <f aca="false">INDEX(WBS_MD!$F$2:$F$174,MATCH(A290,WBS_MD!$A$2:$A$174,0))*C290</f>
        <v>12600000</v>
      </c>
    </row>
    <row r="291" customFormat="false" ht="15" hidden="false" customHeight="false" outlineLevel="0" collapsed="false">
      <c r="A291" s="14" t="s">
        <v>359</v>
      </c>
      <c r="B291" s="14" t="n">
        <v>5</v>
      </c>
      <c r="C291" s="20" t="n">
        <v>0.333333333333333</v>
      </c>
      <c r="D291" s="6" t="n">
        <f aca="false">INDEX(WBS_MD!$F$2:$F$174,MATCH(A291,WBS_MD!$A$2:$A$174,0))*C291</f>
        <v>3500000</v>
      </c>
    </row>
    <row r="292" customFormat="false" ht="15" hidden="false" customHeight="false" outlineLevel="0" collapsed="false">
      <c r="A292" s="14" t="s">
        <v>359</v>
      </c>
      <c r="B292" s="14" t="n">
        <v>6</v>
      </c>
      <c r="C292" s="20" t="n">
        <v>0.333333333333333</v>
      </c>
      <c r="D292" s="6" t="n">
        <f aca="false">INDEX(WBS_MD!$F$2:$F$174,MATCH(A292,WBS_MD!$A$2:$A$174,0))*C292</f>
        <v>3500000</v>
      </c>
    </row>
    <row r="293" customFormat="false" ht="15" hidden="false" customHeight="false" outlineLevel="0" collapsed="false">
      <c r="A293" s="14" t="s">
        <v>359</v>
      </c>
      <c r="B293" s="14" t="n">
        <v>7</v>
      </c>
      <c r="C293" s="20" t="n">
        <v>0.333333333333333</v>
      </c>
      <c r="D293" s="6" t="n">
        <f aca="false">INDEX(WBS_MD!$F$2:$F$174,MATCH(A293,WBS_MD!$A$2:$A$174,0))*C293</f>
        <v>3500000</v>
      </c>
    </row>
    <row r="294" customFormat="false" ht="15" hidden="false" customHeight="false" outlineLevel="0" collapsed="false">
      <c r="A294" s="14" t="s">
        <v>361</v>
      </c>
      <c r="B294" s="14" t="n">
        <v>6</v>
      </c>
      <c r="C294" s="20" t="n">
        <v>0.5</v>
      </c>
      <c r="D294" s="6" t="n">
        <f aca="false">INDEX(WBS_MD!$F$2:$F$174,MATCH(A294,WBS_MD!$A$2:$A$174,0))*C294</f>
        <v>3150000</v>
      </c>
    </row>
    <row r="295" customFormat="false" ht="15" hidden="false" customHeight="false" outlineLevel="0" collapsed="false">
      <c r="A295" s="14" t="s">
        <v>361</v>
      </c>
      <c r="B295" s="14" t="n">
        <v>7</v>
      </c>
      <c r="C295" s="20" t="n">
        <v>0.5</v>
      </c>
      <c r="D295" s="6" t="n">
        <f aca="false">INDEX(WBS_MD!$F$2:$F$174,MATCH(A295,WBS_MD!$A$2:$A$174,0))*C295</f>
        <v>3150000</v>
      </c>
    </row>
    <row r="296" customFormat="false" ht="15" hidden="false" customHeight="false" outlineLevel="0" collapsed="false">
      <c r="A296" s="14" t="s">
        <v>363</v>
      </c>
      <c r="B296" s="14" t="n">
        <v>9</v>
      </c>
      <c r="C296" s="20" t="n">
        <v>1</v>
      </c>
      <c r="D296" s="6" t="n">
        <f aca="false">INDEX(WBS_MD!$F$2:$F$174,MATCH(A296,WBS_MD!$A$2:$A$174,0))*C296</f>
        <v>10500000</v>
      </c>
    </row>
    <row r="297" customFormat="false" ht="15" hidden="false" customHeight="false" outlineLevel="0" collapsed="false">
      <c r="A297" s="14" t="s">
        <v>365</v>
      </c>
      <c r="B297" s="14" t="n">
        <v>9</v>
      </c>
      <c r="C297" s="20" t="n">
        <v>1</v>
      </c>
      <c r="D297" s="6" t="n">
        <f aca="false">INDEX(WBS_MD!$F$2:$F$174,MATCH(A297,WBS_MD!$A$2:$A$174,0))*C297</f>
        <v>10500000</v>
      </c>
    </row>
    <row r="298" customFormat="false" ht="15" hidden="false" customHeight="false" outlineLevel="0" collapsed="false">
      <c r="A298" s="14" t="s">
        <v>367</v>
      </c>
      <c r="B298" s="14" t="n">
        <v>9</v>
      </c>
      <c r="C298" s="20" t="n">
        <v>1</v>
      </c>
      <c r="D298" s="6" t="n">
        <f aca="false">INDEX(WBS_MD!$F$2:$F$174,MATCH(A298,WBS_MD!$A$2:$A$174,0))*C298</f>
        <v>10500000</v>
      </c>
    </row>
    <row r="299" customFormat="false" ht="15" hidden="false" customHeight="false" outlineLevel="0" collapsed="false">
      <c r="A299" s="14" t="s">
        <v>369</v>
      </c>
      <c r="B299" s="14" t="n">
        <v>9</v>
      </c>
      <c r="C299" s="20" t="n">
        <v>1</v>
      </c>
      <c r="D299" s="6" t="n">
        <f aca="false">INDEX(WBS_MD!$F$2:$F$174,MATCH(A299,WBS_MD!$A$2:$A$174,0))*C299</f>
        <v>10500000</v>
      </c>
    </row>
    <row r="300" customFormat="false" ht="15" hidden="false" customHeight="false" outlineLevel="0" collapsed="false">
      <c r="A300" s="14" t="s">
        <v>371</v>
      </c>
      <c r="B300" s="14" t="n">
        <v>9</v>
      </c>
      <c r="C300" s="20" t="n">
        <v>1</v>
      </c>
      <c r="D300" s="6" t="n">
        <f aca="false">INDEX(WBS_MD!$F$2:$F$174,MATCH(A300,WBS_MD!$A$2:$A$174,0))*C300</f>
        <v>8400000</v>
      </c>
    </row>
    <row r="301" customFormat="false" ht="15" hidden="false" customHeight="false" outlineLevel="0" collapsed="false">
      <c r="A301" s="14" t="s">
        <v>373</v>
      </c>
      <c r="B301" s="14" t="n">
        <v>13</v>
      </c>
      <c r="C301" s="20" t="n">
        <v>1</v>
      </c>
      <c r="D301" s="6" t="n">
        <f aca="false">INDEX(WBS_MD!$F$2:$F$174,MATCH(A301,WBS_MD!$A$2:$A$174,0))*C301</f>
        <v>10500000</v>
      </c>
    </row>
    <row r="302" customFormat="false" ht="15" hidden="false" customHeight="false" outlineLevel="0" collapsed="false">
      <c r="A302" s="14" t="s">
        <v>375</v>
      </c>
      <c r="B302" s="14" t="n">
        <v>9</v>
      </c>
      <c r="C302" s="20" t="n">
        <v>1</v>
      </c>
      <c r="D302" s="6" t="n">
        <f aca="false">INDEX(WBS_MD!$F$2:$F$174,MATCH(A302,WBS_MD!$A$2:$A$174,0))*C302</f>
        <v>8000000</v>
      </c>
    </row>
    <row r="303" customFormat="false" ht="15" hidden="false" customHeight="false" outlineLevel="0" collapsed="false">
      <c r="A303" s="14" t="s">
        <v>377</v>
      </c>
      <c r="B303" s="14" t="n">
        <v>9</v>
      </c>
      <c r="C303" s="20" t="n">
        <v>1</v>
      </c>
      <c r="D303" s="6" t="n">
        <f aca="false">INDEX(WBS_MD!$F$2:$F$174,MATCH(A303,WBS_MD!$A$2:$A$174,0))*C303</f>
        <v>6000000</v>
      </c>
    </row>
    <row r="304" customFormat="false" ht="15" hidden="false" customHeight="false" outlineLevel="0" collapsed="false">
      <c r="A304" s="14" t="s">
        <v>379</v>
      </c>
      <c r="B304" s="14" t="n">
        <v>9</v>
      </c>
      <c r="C304" s="20" t="n">
        <v>1</v>
      </c>
      <c r="D304" s="6" t="n">
        <f aca="false">INDEX(WBS_MD!$F$2:$F$174,MATCH(A304,WBS_MD!$A$2:$A$174,0))*C304</f>
        <v>14000000</v>
      </c>
    </row>
    <row r="305" customFormat="false" ht="15" hidden="false" customHeight="false" outlineLevel="0" collapsed="false">
      <c r="A305" s="14" t="s">
        <v>381</v>
      </c>
      <c r="B305" s="14" t="n">
        <v>9</v>
      </c>
      <c r="C305" s="20" t="n">
        <v>1</v>
      </c>
      <c r="D305" s="6" t="n">
        <f aca="false">INDEX(WBS_MD!$F$2:$F$174,MATCH(A305,WBS_MD!$A$2:$A$174,0))*C305</f>
        <v>10500000</v>
      </c>
    </row>
    <row r="306" customFormat="false" ht="15" hidden="false" customHeight="false" outlineLevel="0" collapsed="false">
      <c r="A306" s="14" t="s">
        <v>383</v>
      </c>
      <c r="B306" s="14" t="n">
        <v>10</v>
      </c>
      <c r="C306" s="20" t="n">
        <v>1</v>
      </c>
      <c r="D306" s="6" t="n">
        <f aca="false">INDEX(WBS_MD!$F$2:$F$174,MATCH(A306,WBS_MD!$A$2:$A$174,0))*C306</f>
        <v>12600000</v>
      </c>
    </row>
    <row r="307" customFormat="false" ht="15" hidden="false" customHeight="false" outlineLevel="0" collapsed="false">
      <c r="A307" s="14" t="s">
        <v>385</v>
      </c>
      <c r="B307" s="14" t="n">
        <v>5</v>
      </c>
      <c r="C307" s="20" t="n">
        <v>0.2</v>
      </c>
      <c r="D307" s="6" t="n">
        <f aca="false">INDEX(WBS_MD!$F$2:$F$174,MATCH(A307,WBS_MD!$A$2:$A$174,0))*C307</f>
        <v>1290000</v>
      </c>
    </row>
    <row r="308" customFormat="false" ht="15" hidden="false" customHeight="false" outlineLevel="0" collapsed="false">
      <c r="A308" s="14" t="s">
        <v>385</v>
      </c>
      <c r="B308" s="14" t="n">
        <v>6</v>
      </c>
      <c r="C308" s="20" t="n">
        <v>0.2</v>
      </c>
      <c r="D308" s="6" t="n">
        <f aca="false">INDEX(WBS_MD!$F$2:$F$174,MATCH(A308,WBS_MD!$A$2:$A$174,0))*C308</f>
        <v>1290000</v>
      </c>
    </row>
    <row r="309" customFormat="false" ht="15" hidden="false" customHeight="false" outlineLevel="0" collapsed="false">
      <c r="A309" s="14" t="s">
        <v>385</v>
      </c>
      <c r="B309" s="14" t="n">
        <v>7</v>
      </c>
      <c r="C309" s="20" t="n">
        <v>0.2</v>
      </c>
      <c r="D309" s="6" t="n">
        <f aca="false">INDEX(WBS_MD!$F$2:$F$174,MATCH(A309,WBS_MD!$A$2:$A$174,0))*C309</f>
        <v>1290000</v>
      </c>
    </row>
    <row r="310" customFormat="false" ht="15" hidden="false" customHeight="false" outlineLevel="0" collapsed="false">
      <c r="A310" s="14" t="s">
        <v>385</v>
      </c>
      <c r="B310" s="14" t="n">
        <v>8</v>
      </c>
      <c r="C310" s="20" t="n">
        <v>0.2</v>
      </c>
      <c r="D310" s="6" t="n">
        <f aca="false">INDEX(WBS_MD!$F$2:$F$174,MATCH(A310,WBS_MD!$A$2:$A$174,0))*C310</f>
        <v>1290000</v>
      </c>
    </row>
    <row r="311" customFormat="false" ht="15" hidden="false" customHeight="false" outlineLevel="0" collapsed="false">
      <c r="A311" s="14" t="s">
        <v>385</v>
      </c>
      <c r="B311" s="14" t="n">
        <v>9</v>
      </c>
      <c r="C311" s="20" t="n">
        <v>0.2</v>
      </c>
      <c r="D311" s="6" t="n">
        <f aca="false">INDEX(WBS_MD!$F$2:$F$174,MATCH(A311,WBS_MD!$A$2:$A$174,0))*C311</f>
        <v>1290000</v>
      </c>
    </row>
    <row r="312" customFormat="false" ht="15" hidden="false" customHeight="false" outlineLevel="0" collapsed="false">
      <c r="A312" s="14" t="s">
        <v>387</v>
      </c>
      <c r="B312" s="14" t="n">
        <v>10</v>
      </c>
      <c r="C312" s="20" t="n">
        <v>1</v>
      </c>
      <c r="D312" s="6" t="n">
        <f aca="false">INDEX(WBS_MD!$F$2:$F$174,MATCH(A312,WBS_MD!$A$2:$A$174,0))*C312</f>
        <v>8000000</v>
      </c>
    </row>
    <row r="313" customFormat="false" ht="15" hidden="false" customHeight="false" outlineLevel="0" collapsed="false">
      <c r="A313" s="14" t="s">
        <v>389</v>
      </c>
      <c r="B313" s="14" t="n">
        <v>10</v>
      </c>
      <c r="C313" s="20" t="n">
        <v>1</v>
      </c>
      <c r="D313" s="6" t="n">
        <f aca="false">INDEX(WBS_MD!$F$2:$F$174,MATCH(A313,WBS_MD!$A$2:$A$174,0))*C313</f>
        <v>7800000</v>
      </c>
    </row>
    <row r="314" customFormat="false" ht="15" hidden="false" customHeight="false" outlineLevel="0" collapsed="false">
      <c r="A314" s="14" t="s">
        <v>391</v>
      </c>
      <c r="B314" s="14" t="n">
        <v>11</v>
      </c>
      <c r="C314" s="20" t="n">
        <v>1</v>
      </c>
      <c r="D314" s="6" t="n">
        <f aca="false">INDEX(WBS_MD!$F$2:$F$174,MATCH(A314,WBS_MD!$A$2:$A$174,0))*C314</f>
        <v>10500000</v>
      </c>
    </row>
    <row r="315" customFormat="false" ht="15" hidden="false" customHeight="false" outlineLevel="0" collapsed="false">
      <c r="A315" s="14" t="s">
        <v>393</v>
      </c>
      <c r="B315" s="14" t="n">
        <v>13</v>
      </c>
      <c r="C315" s="20" t="n">
        <v>1</v>
      </c>
      <c r="D315" s="6" t="n">
        <f aca="false">INDEX(WBS_MD!$F$2:$F$174,MATCH(A315,WBS_MD!$A$2:$A$174,0))*C315</f>
        <v>18200000</v>
      </c>
    </row>
    <row r="316" customFormat="false" ht="15" hidden="false" customHeight="false" outlineLevel="0" collapsed="false">
      <c r="A316" s="14" t="s">
        <v>395</v>
      </c>
      <c r="B316" s="14" t="n">
        <v>13</v>
      </c>
      <c r="C316" s="20" t="n">
        <v>1</v>
      </c>
      <c r="D316" s="6" t="n">
        <f aca="false">INDEX(WBS_MD!$F$2:$F$174,MATCH(A316,WBS_MD!$A$2:$A$174,0))*C316</f>
        <v>10400000</v>
      </c>
    </row>
    <row r="317" customFormat="false" ht="15" hidden="false" customHeight="false" outlineLevel="0" collapsed="false">
      <c r="A317" s="14" t="s">
        <v>397</v>
      </c>
      <c r="B317" s="14" t="n">
        <v>13</v>
      </c>
      <c r="C317" s="20" t="n">
        <v>1</v>
      </c>
      <c r="D317" s="6" t="n">
        <f aca="false">INDEX(WBS_MD!$F$2:$F$174,MATCH(A317,WBS_MD!$A$2:$A$174,0))*C317</f>
        <v>8400000</v>
      </c>
    </row>
    <row r="318" customFormat="false" ht="15" hidden="false" customHeight="false" outlineLevel="0" collapsed="false">
      <c r="A318" s="14" t="s">
        <v>399</v>
      </c>
      <c r="B318" s="14" t="n">
        <v>13</v>
      </c>
      <c r="C318" s="20" t="n">
        <v>1</v>
      </c>
      <c r="D318" s="6" t="n">
        <f aca="false">INDEX(WBS_MD!$F$2:$F$174,MATCH(A318,WBS_MD!$A$2:$A$174,0))*C318</f>
        <v>8400000</v>
      </c>
    </row>
    <row r="319" customFormat="false" ht="15" hidden="false" customHeight="false" outlineLevel="0" collapsed="false">
      <c r="A319" s="14" t="s">
        <v>401</v>
      </c>
      <c r="B319" s="14" t="n">
        <v>12</v>
      </c>
      <c r="C319" s="20" t="n">
        <v>1</v>
      </c>
      <c r="D319" s="6" t="n">
        <f aca="false">INDEX(WBS_MD!$F$2:$F$174,MATCH(A319,WBS_MD!$A$2:$A$174,0))*C319</f>
        <v>4200000</v>
      </c>
    </row>
    <row r="320" customFormat="false" ht="15" hidden="false" customHeight="false" outlineLevel="0" collapsed="false">
      <c r="A320" s="14" t="s">
        <v>403</v>
      </c>
      <c r="B320" s="14" t="n">
        <v>13</v>
      </c>
      <c r="C320" s="20" t="n">
        <v>1</v>
      </c>
      <c r="D320" s="6" t="n">
        <f aca="false">INDEX(WBS_MD!$F$2:$F$174,MATCH(A320,WBS_MD!$A$2:$A$174,0))*C320</f>
        <v>10400000</v>
      </c>
    </row>
    <row r="321" customFormat="false" ht="15" hidden="false" customHeight="false" outlineLevel="0" collapsed="false">
      <c r="A321" s="14" t="s">
        <v>405</v>
      </c>
      <c r="B321" s="14" t="n">
        <v>1</v>
      </c>
      <c r="C321" s="20" t="n">
        <v>1</v>
      </c>
      <c r="D321" s="6" t="n">
        <f aca="false">INDEX(WBS_MD!$F$2:$F$174,MATCH(A321,WBS_MD!$A$2:$A$174,0))*C321</f>
        <v>8250000</v>
      </c>
    </row>
    <row r="322" customFormat="false" ht="15" hidden="false" customHeight="false" outlineLevel="0" collapsed="false">
      <c r="A322" s="14" t="s">
        <v>408</v>
      </c>
      <c r="B322" s="14" t="n">
        <v>1</v>
      </c>
      <c r="C322" s="20" t="n">
        <v>1</v>
      </c>
      <c r="D322" s="6" t="n">
        <f aca="false">INDEX(WBS_MD!$F$2:$F$174,MATCH(A322,WBS_MD!$A$2:$A$174,0))*C322</f>
        <v>6450000</v>
      </c>
    </row>
    <row r="323" customFormat="false" ht="15" hidden="false" customHeight="false" outlineLevel="0" collapsed="false">
      <c r="A323" s="14" t="s">
        <v>410</v>
      </c>
      <c r="B323" s="14" t="n">
        <v>1</v>
      </c>
      <c r="C323" s="20" t="n">
        <v>1</v>
      </c>
      <c r="D323" s="6" t="n">
        <f aca="false">INDEX(WBS_MD!$F$2:$F$174,MATCH(A323,WBS_MD!$A$2:$A$174,0))*C323</f>
        <v>10750000</v>
      </c>
    </row>
    <row r="324" customFormat="false" ht="15" hidden="false" customHeight="false" outlineLevel="0" collapsed="false">
      <c r="A324" s="14" t="s">
        <v>412</v>
      </c>
      <c r="B324" s="14" t="n">
        <v>9</v>
      </c>
      <c r="C324" s="20" t="n">
        <v>1</v>
      </c>
      <c r="D324" s="6" t="n">
        <f aca="false">INDEX(WBS_MD!$F$2:$F$174,MATCH(A324,WBS_MD!$A$2:$A$174,0))*C324</f>
        <v>8400000</v>
      </c>
    </row>
    <row r="325" customFormat="false" ht="15" hidden="false" customHeight="false" outlineLevel="0" collapsed="false">
      <c r="A325" s="14" t="s">
        <v>414</v>
      </c>
      <c r="B325" s="14" t="n">
        <v>1</v>
      </c>
      <c r="C325" s="20" t="n">
        <v>1</v>
      </c>
      <c r="D325" s="6" t="n">
        <f aca="false">INDEX(WBS_MD!$F$2:$F$174,MATCH(A325,WBS_MD!$A$2:$A$174,0))*C325</f>
        <v>4300000</v>
      </c>
    </row>
    <row r="326" customFormat="false" ht="15" hidden="false" customHeight="false" outlineLevel="0" collapsed="false">
      <c r="A326" s="14" t="s">
        <v>416</v>
      </c>
      <c r="B326" s="14" t="n">
        <v>9</v>
      </c>
      <c r="C326" s="20" t="n">
        <v>1</v>
      </c>
      <c r="D326" s="6" t="n">
        <f aca="false">INDEX(WBS_MD!$F$2:$F$174,MATCH(A326,WBS_MD!$A$2:$A$174,0))*C326</f>
        <v>8400000</v>
      </c>
    </row>
    <row r="327" customFormat="false" ht="15" hidden="false" customHeight="false" outlineLevel="0" collapsed="false">
      <c r="A327" s="14" t="s">
        <v>418</v>
      </c>
      <c r="B327" s="14" t="n">
        <v>9</v>
      </c>
      <c r="C327" s="20" t="n">
        <v>1</v>
      </c>
      <c r="D327" s="6" t="n">
        <f aca="false">INDEX(WBS_MD!$F$2:$F$174,MATCH(A327,WBS_MD!$A$2:$A$174,0))*C327</f>
        <v>10500000</v>
      </c>
    </row>
    <row r="328" customFormat="false" ht="15" hidden="false" customHeight="false" outlineLevel="0" collapsed="false">
      <c r="A328" s="14" t="s">
        <v>420</v>
      </c>
      <c r="B328" s="14" t="n">
        <v>9</v>
      </c>
      <c r="C328" s="20" t="n">
        <v>1</v>
      </c>
      <c r="D328" s="6" t="n">
        <f aca="false">INDEX(WBS_MD!$F$2:$F$174,MATCH(A328,WBS_MD!$A$2:$A$174,0))*C328</f>
        <v>8400000</v>
      </c>
    </row>
    <row r="329" customFormat="false" ht="15" hidden="false" customHeight="false" outlineLevel="0" collapsed="false">
      <c r="A329" s="14" t="s">
        <v>422</v>
      </c>
      <c r="B329" s="14" t="n">
        <v>7</v>
      </c>
      <c r="C329" s="20" t="n">
        <v>1</v>
      </c>
      <c r="D329" s="6" t="n">
        <f aca="false">INDEX(WBS_MD!$F$2:$F$174,MATCH(A329,WBS_MD!$A$2:$A$174,0))*C329</f>
        <v>12600000</v>
      </c>
    </row>
    <row r="330" customFormat="false" ht="15" hidden="false" customHeight="false" outlineLevel="0" collapsed="false">
      <c r="A330" s="14" t="s">
        <v>424</v>
      </c>
      <c r="B330" s="14" t="n">
        <v>7</v>
      </c>
      <c r="C330" s="20" t="n">
        <v>1</v>
      </c>
      <c r="D330" s="6" t="n">
        <f aca="false">INDEX(WBS_MD!$F$2:$F$174,MATCH(A330,WBS_MD!$A$2:$A$174,0))*C330</f>
        <v>8400000</v>
      </c>
    </row>
    <row r="331" customFormat="false" ht="15" hidden="false" customHeight="false" outlineLevel="0" collapsed="false">
      <c r="A331" s="14" t="s">
        <v>426</v>
      </c>
      <c r="B331" s="14" t="n">
        <v>7</v>
      </c>
      <c r="C331" s="20" t="n">
        <v>1</v>
      </c>
      <c r="D331" s="6" t="n">
        <f aca="false">INDEX(WBS_MD!$F$2:$F$174,MATCH(A331,WBS_MD!$A$2:$A$174,0))*C331</f>
        <v>10500000</v>
      </c>
    </row>
    <row r="332" customFormat="false" ht="15" hidden="false" customHeight="false" outlineLevel="0" collapsed="false">
      <c r="A332" s="14" t="s">
        <v>428</v>
      </c>
      <c r="B332" s="14" t="n">
        <v>9</v>
      </c>
      <c r="C332" s="20" t="n">
        <v>1</v>
      </c>
      <c r="D332" s="6" t="n">
        <f aca="false">INDEX(WBS_MD!$F$2:$F$174,MATCH(A332,WBS_MD!$A$2:$A$174,0))*C332</f>
        <v>10500000</v>
      </c>
    </row>
    <row r="333" customFormat="false" ht="15" hidden="false" customHeight="false" outlineLevel="0" collapsed="false">
      <c r="A333" s="14" t="s">
        <v>430</v>
      </c>
      <c r="B333" s="14" t="n">
        <v>10</v>
      </c>
      <c r="C333" s="20" t="n">
        <v>1</v>
      </c>
      <c r="D333" s="6" t="n">
        <f aca="false">INDEX(WBS_MD!$F$2:$F$174,MATCH(A333,WBS_MD!$A$2:$A$174,0))*C333</f>
        <v>6000000</v>
      </c>
    </row>
    <row r="334" customFormat="false" ht="15" hidden="false" customHeight="false" outlineLevel="0" collapsed="false">
      <c r="A334" s="14" t="s">
        <v>432</v>
      </c>
      <c r="B334" s="14" t="n">
        <v>10</v>
      </c>
      <c r="C334" s="20" t="n">
        <v>1</v>
      </c>
      <c r="D334" s="6" t="n">
        <f aca="false">INDEX(WBS_MD!$F$2:$F$174,MATCH(A334,WBS_MD!$A$2:$A$174,0))*C334</f>
        <v>12000000</v>
      </c>
    </row>
    <row r="335" customFormat="false" ht="15" hidden="false" customHeight="false" outlineLevel="0" collapsed="false">
      <c r="A335" s="14" t="s">
        <v>434</v>
      </c>
      <c r="B335" s="14" t="n">
        <v>10</v>
      </c>
      <c r="C335" s="20" t="n">
        <v>1</v>
      </c>
      <c r="D335" s="6" t="n">
        <f aca="false">INDEX(WBS_MD!$F$2:$F$174,MATCH(A335,WBS_MD!$A$2:$A$174,0))*C335</f>
        <v>8000000</v>
      </c>
    </row>
    <row r="336" customFormat="false" ht="15" hidden="false" customHeight="false" outlineLevel="0" collapsed="false">
      <c r="A336" s="14" t="s">
        <v>436</v>
      </c>
      <c r="B336" s="14" t="n">
        <v>10</v>
      </c>
      <c r="C336" s="20" t="n">
        <v>1</v>
      </c>
      <c r="D336" s="6" t="n">
        <f aca="false">INDEX(WBS_MD!$F$2:$F$174,MATCH(A336,WBS_MD!$A$2:$A$174,0))*C336</f>
        <v>6300000</v>
      </c>
    </row>
    <row r="337" customFormat="false" ht="15" hidden="false" customHeight="false" outlineLevel="0" collapsed="false">
      <c r="A337" s="14" t="s">
        <v>438</v>
      </c>
      <c r="B337" s="14" t="n">
        <v>11</v>
      </c>
      <c r="C337" s="20" t="n">
        <v>1</v>
      </c>
      <c r="D337" s="6" t="n">
        <f aca="false">INDEX(WBS_MD!$F$2:$F$174,MATCH(A337,WBS_MD!$A$2:$A$174,0))*C337</f>
        <v>6000000</v>
      </c>
    </row>
    <row r="338" customFormat="false" ht="15" hidden="false" customHeight="false" outlineLevel="0" collapsed="false">
      <c r="A338" s="14" t="s">
        <v>440</v>
      </c>
      <c r="B338" s="14" t="n">
        <v>13</v>
      </c>
      <c r="C338" s="20" t="n">
        <v>1</v>
      </c>
      <c r="D338" s="6" t="n">
        <f aca="false">INDEX(WBS_MD!$F$2:$F$174,MATCH(A338,WBS_MD!$A$2:$A$174,0))*C338</f>
        <v>5200000</v>
      </c>
    </row>
    <row r="339" customFormat="false" ht="15" hidden="false" customHeight="false" outlineLevel="0" collapsed="false">
      <c r="A339" s="14" t="s">
        <v>442</v>
      </c>
      <c r="B339" s="14" t="n">
        <v>12</v>
      </c>
      <c r="C339" s="20" t="n">
        <v>1</v>
      </c>
      <c r="D339" s="6" t="n">
        <f aca="false">INDEX(WBS_MD!$F$2:$F$174,MATCH(A339,WBS_MD!$A$2:$A$174,0))*C339</f>
        <v>6450000</v>
      </c>
    </row>
    <row r="340" customFormat="false" ht="15" hidden="false" customHeight="false" outlineLevel="0" collapsed="false">
      <c r="A340" s="14" t="s">
        <v>444</v>
      </c>
      <c r="B340" s="14" t="n">
        <v>12</v>
      </c>
      <c r="C340" s="20" t="n">
        <v>1</v>
      </c>
      <c r="D340" s="6" t="n">
        <f aca="false">INDEX(WBS_MD!$F$2:$F$174,MATCH(A340,WBS_MD!$A$2:$A$174,0))*C340</f>
        <v>2100000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10"/>
    <col collapsed="false" customWidth="true" hidden="false" outlineLevel="0" max="4" min="4" style="0" width="8"/>
    <col collapsed="false" customWidth="true" hidden="false" outlineLevel="0" max="6" min="5" style="0" width="20"/>
  </cols>
  <sheetData>
    <row r="1" customFormat="false" ht="17.35" hidden="false" customHeight="false" outlineLevel="0" collapsed="false">
      <c r="A1" s="1" t="s">
        <v>509</v>
      </c>
    </row>
    <row r="3" customFormat="false" ht="25" hidden="false" customHeight="false" outlineLevel="0" collapsed="false">
      <c r="A3" s="3" t="s">
        <v>510</v>
      </c>
      <c r="B3" s="3" t="s">
        <v>511</v>
      </c>
      <c r="C3" s="3" t="s">
        <v>512</v>
      </c>
      <c r="D3" s="3" t="s">
        <v>513</v>
      </c>
      <c r="E3" s="3" t="s">
        <v>508</v>
      </c>
      <c r="F3" s="3" t="s">
        <v>448</v>
      </c>
    </row>
    <row r="4" customFormat="false" ht="15" hidden="false" customHeight="false" outlineLevel="0" collapsed="false">
      <c r="A4" s="14" t="n">
        <v>1</v>
      </c>
      <c r="B4" s="19" t="s">
        <v>514</v>
      </c>
      <c r="C4" s="14" t="s">
        <v>97</v>
      </c>
      <c r="D4" s="14" t="s">
        <v>515</v>
      </c>
      <c r="E4" s="6" t="n">
        <f aca="false">SUMIFS(Goi_01A!$D:$D,Goi_01A!$B:$B,A4)</f>
        <v>141708653.846154</v>
      </c>
      <c r="F4" s="6" t="n">
        <f aca="false">ROUND(E4/Nhan_cong!$F$7*Tong_hop!$B$8,0)</f>
        <v>174634798</v>
      </c>
    </row>
    <row r="5" customFormat="false" ht="15" hidden="false" customHeight="false" outlineLevel="0" collapsed="false">
      <c r="A5" s="14" t="n">
        <v>2</v>
      </c>
      <c r="B5" s="19" t="s">
        <v>516</v>
      </c>
      <c r="C5" s="14" t="s">
        <v>97</v>
      </c>
      <c r="D5" s="14" t="s">
        <v>515</v>
      </c>
      <c r="E5" s="6" t="n">
        <f aca="false">SUMIFS(Goi_01A!$D:$D,Goi_01A!$B:$B,A5)</f>
        <v>17933653.8461538</v>
      </c>
      <c r="F5" s="6" t="n">
        <f aca="false">ROUND(E5/Nhan_cong!$F$7*Tong_hop!$B$8,0)</f>
        <v>22100556</v>
      </c>
    </row>
    <row r="6" customFormat="false" ht="15" hidden="false" customHeight="false" outlineLevel="0" collapsed="false">
      <c r="A6" s="14" t="n">
        <v>3</v>
      </c>
      <c r="B6" s="19" t="s">
        <v>517</v>
      </c>
      <c r="C6" s="14" t="s">
        <v>97</v>
      </c>
      <c r="D6" s="14" t="s">
        <v>515</v>
      </c>
      <c r="E6" s="6" t="n">
        <f aca="false">SUMIFS(Goi_01A!$D:$D,Goi_01A!$B:$B,A6)</f>
        <v>19833653.8461538</v>
      </c>
      <c r="F6" s="6" t="n">
        <f aca="false">ROUND(E6/Nhan_cong!$F$7*Tong_hop!$B$8,0)</f>
        <v>24442023</v>
      </c>
    </row>
    <row r="7" customFormat="false" ht="15" hidden="false" customHeight="false" outlineLevel="0" collapsed="false">
      <c r="A7" s="14" t="n">
        <v>4</v>
      </c>
      <c r="B7" s="19" t="s">
        <v>518</v>
      </c>
      <c r="C7" s="14" t="s">
        <v>97</v>
      </c>
      <c r="D7" s="14" t="s">
        <v>515</v>
      </c>
      <c r="E7" s="6" t="n">
        <f aca="false">SUMIFS(Goi_01A!$D:$D,Goi_01A!$B:$B,A7)</f>
        <v>45183653.8461539</v>
      </c>
      <c r="F7" s="6" t="n">
        <f aca="false">ROUND(E7/Nhan_cong!$F$7*Tong_hop!$B$8,0)</f>
        <v>55682120</v>
      </c>
    </row>
    <row r="8" customFormat="false" ht="15" hidden="false" customHeight="false" outlineLevel="0" collapsed="false">
      <c r="A8" s="14" t="n">
        <v>5</v>
      </c>
      <c r="B8" s="19" t="s">
        <v>519</v>
      </c>
      <c r="C8" s="14" t="s">
        <v>97</v>
      </c>
      <c r="D8" s="14" t="s">
        <v>515</v>
      </c>
      <c r="E8" s="6" t="n">
        <f aca="false">SUMIFS(Goi_01A!$D:$D,Goi_01A!$B:$B,A8)</f>
        <v>209781153.846154</v>
      </c>
      <c r="F8" s="6" t="n">
        <f aca="false">ROUND(E8/Nhan_cong!$F$7*Tong_hop!$B$8,0)</f>
        <v>258524009</v>
      </c>
    </row>
    <row r="9" customFormat="false" ht="15" hidden="false" customHeight="false" outlineLevel="0" collapsed="false">
      <c r="A9" s="14" t="n">
        <v>6</v>
      </c>
      <c r="B9" s="19" t="s">
        <v>520</v>
      </c>
      <c r="C9" s="14" t="s">
        <v>97</v>
      </c>
      <c r="D9" s="14" t="s">
        <v>515</v>
      </c>
      <c r="E9" s="6" t="n">
        <f aca="false">SUMIFS(Goi_01A!$D:$D,Goi_01A!$B:$B,A9)</f>
        <v>206531153.846154</v>
      </c>
      <c r="F9" s="6" t="n">
        <f aca="false">ROUND(E9/Nhan_cong!$F$7*Tong_hop!$B$8,0)</f>
        <v>254518868</v>
      </c>
    </row>
    <row r="10" customFormat="false" ht="15" hidden="false" customHeight="false" outlineLevel="0" collapsed="false">
      <c r="A10" s="14" t="n">
        <v>7</v>
      </c>
      <c r="B10" s="19" t="s">
        <v>521</v>
      </c>
      <c r="C10" s="14" t="s">
        <v>97</v>
      </c>
      <c r="D10" s="14" t="s">
        <v>515</v>
      </c>
      <c r="E10" s="6" t="n">
        <f aca="false">SUMIFS(Goi_01A!$D:$D,Goi_01A!$B:$B,A10)</f>
        <v>310781153.846154</v>
      </c>
      <c r="F10" s="6" t="n">
        <f aca="false">ROUND(E10/Nhan_cong!$F$7*Tong_hop!$B$8,0)</f>
        <v>382991457</v>
      </c>
    </row>
    <row r="11" customFormat="false" ht="15" hidden="false" customHeight="false" outlineLevel="0" collapsed="false">
      <c r="A11" s="14" t="n">
        <v>8</v>
      </c>
      <c r="B11" s="19" t="s">
        <v>522</v>
      </c>
      <c r="C11" s="14" t="s">
        <v>97</v>
      </c>
      <c r="D11" s="14" t="s">
        <v>515</v>
      </c>
      <c r="E11" s="6" t="n">
        <f aca="false">SUMIFS(Goi_01A!$D:$D,Goi_01A!$B:$B,A11)</f>
        <v>28931153.8461538</v>
      </c>
      <c r="F11" s="6" t="n">
        <f aca="false">ROUND(E11/Nhan_cong!$F$7*Tong_hop!$B$8,0)</f>
        <v>35653336</v>
      </c>
    </row>
    <row r="12" customFormat="false" ht="15" hidden="false" customHeight="false" outlineLevel="0" collapsed="false">
      <c r="A12" s="14" t="n">
        <v>9</v>
      </c>
      <c r="B12" s="19" t="s">
        <v>523</v>
      </c>
      <c r="C12" s="14" t="s">
        <v>97</v>
      </c>
      <c r="D12" s="14" t="s">
        <v>515</v>
      </c>
      <c r="E12" s="6" t="n">
        <f aca="false">SUMIFS(Goi_01A!$D:$D,Goi_01A!$B:$B,A12)</f>
        <v>168531153.846154</v>
      </c>
      <c r="F12" s="6" t="n">
        <f aca="false">ROUND(E12/Nhan_cong!$F$7*Tong_hop!$B$8,0)</f>
        <v>207689531</v>
      </c>
    </row>
    <row r="13" customFormat="false" ht="15" hidden="false" customHeight="false" outlineLevel="0" collapsed="false">
      <c r="A13" s="14" t="n">
        <v>10</v>
      </c>
      <c r="B13" s="19" t="s">
        <v>524</v>
      </c>
      <c r="C13" s="14" t="s">
        <v>97</v>
      </c>
      <c r="D13" s="14" t="s">
        <v>515</v>
      </c>
      <c r="E13" s="6" t="n">
        <f aca="false">SUMIFS(Goi_01A!$D:$D,Goi_01A!$B:$B,A13)</f>
        <v>133821153.846154</v>
      </c>
      <c r="F13" s="6" t="n">
        <f aca="false">ROUND(E13/Nhan_cong!$F$7*Tong_hop!$B$8,0)</f>
        <v>164914629</v>
      </c>
    </row>
    <row r="14" customFormat="false" ht="15" hidden="false" customHeight="false" outlineLevel="0" collapsed="false">
      <c r="A14" s="14" t="n">
        <v>11</v>
      </c>
      <c r="B14" s="19" t="s">
        <v>525</v>
      </c>
      <c r="C14" s="14" t="s">
        <v>97</v>
      </c>
      <c r="D14" s="14" t="s">
        <v>515</v>
      </c>
      <c r="E14" s="6" t="n">
        <f aca="false">SUMIFS(Goi_01A!$D:$D,Goi_01A!$B:$B,A14)</f>
        <v>121121153.846154</v>
      </c>
      <c r="F14" s="6" t="n">
        <f aca="false">ROUND(E14/Nhan_cong!$F$7*Tong_hop!$B$8,0)</f>
        <v>149263772</v>
      </c>
    </row>
    <row r="15" customFormat="false" ht="15" hidden="false" customHeight="false" outlineLevel="0" collapsed="false">
      <c r="A15" s="14" t="n">
        <v>12</v>
      </c>
      <c r="B15" s="19" t="s">
        <v>526</v>
      </c>
      <c r="C15" s="14" t="s">
        <v>97</v>
      </c>
      <c r="D15" s="14" t="s">
        <v>515</v>
      </c>
      <c r="E15" s="6" t="n">
        <f aca="false">SUMIFS(Goi_01A!$D:$D,Goi_01A!$B:$B,A15)</f>
        <v>65071153.8461539</v>
      </c>
      <c r="F15" s="6" t="n">
        <f aca="false">ROUND(E15/Nhan_cong!$F$7*Tong_hop!$B$8,0)</f>
        <v>80190500</v>
      </c>
    </row>
    <row r="16" customFormat="false" ht="15" hidden="false" customHeight="false" outlineLevel="0" collapsed="false">
      <c r="A16" s="14" t="n">
        <v>13</v>
      </c>
      <c r="B16" s="19" t="s">
        <v>527</v>
      </c>
      <c r="C16" s="14" t="s">
        <v>97</v>
      </c>
      <c r="D16" s="14" t="s">
        <v>515</v>
      </c>
      <c r="E16" s="6" t="n">
        <f aca="false">SUMIFS(Goi_01A!$D:$D,Goi_01A!$B:$B,A16)</f>
        <v>112321153.846154</v>
      </c>
      <c r="F16" s="6" t="n">
        <f aca="false">Tong_hop!$B$8-SUM(F4:F15)</f>
        <v>138419083</v>
      </c>
    </row>
    <row r="17" customFormat="false" ht="15" hidden="false" customHeight="false" outlineLevel="0" collapsed="false">
      <c r="B17" s="4" t="s">
        <v>528</v>
      </c>
      <c r="E17" s="18" t="n">
        <f aca="false">SUM(E4:E16)</f>
        <v>1581550000</v>
      </c>
      <c r="F17" s="18" t="n">
        <f aca="false">SUM(F4:F16)</f>
        <v>1949024682</v>
      </c>
    </row>
    <row r="19" customFormat="false" ht="15" hidden="false" customHeight="false" outlineLevel="0" collapsed="false">
      <c r="A19" s="8"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0"/>
    <col collapsed="false" customWidth="true" hidden="false" outlineLevel="0" max="5" min="4" style="0" width="20"/>
  </cols>
  <sheetData>
    <row r="1" customFormat="false" ht="15" hidden="false" customHeight="false" outlineLevel="0" collapsed="false">
      <c r="A1" s="3" t="s">
        <v>530</v>
      </c>
      <c r="B1" s="3" t="s">
        <v>531</v>
      </c>
      <c r="C1" s="3" t="s">
        <v>92</v>
      </c>
      <c r="D1" s="3" t="s">
        <v>532</v>
      </c>
      <c r="E1" s="3" t="s">
        <v>533</v>
      </c>
    </row>
    <row r="2" customFormat="false" ht="15" hidden="false" customHeight="false" outlineLevel="0" collapsed="false">
      <c r="A2" s="14" t="s">
        <v>97</v>
      </c>
      <c r="B2" s="19" t="s">
        <v>534</v>
      </c>
      <c r="C2" s="16" t="n">
        <f aca="false">SUMIFS(WBS_MD!$D:$D,WBS_MD!$E:$E,A2)</f>
        <v>151</v>
      </c>
      <c r="D2" s="6" t="n">
        <f aca="false">SUMIFS(WBS_MD!$F:$F,WBS_MD!$E:$E,A2)</f>
        <v>327600000</v>
      </c>
      <c r="E2" s="6" t="n">
        <f aca="false">ROUND(D2/Nhan_cong!$F$7*Tong_hop!$B$8,0)</f>
        <v>403718179</v>
      </c>
    </row>
    <row r="3" customFormat="false" ht="15" hidden="false" customHeight="false" outlineLevel="0" collapsed="false">
      <c r="A3" s="14" t="s">
        <v>170</v>
      </c>
      <c r="B3" s="19" t="s">
        <v>535</v>
      </c>
      <c r="C3" s="16" t="n">
        <f aca="false">SUMIFS(WBS_MD!$D:$D,WBS_MD!$E:$E,A3)</f>
        <v>147.5</v>
      </c>
      <c r="D3" s="6" t="n">
        <f aca="false">SUMIFS(WBS_MD!$F:$F,WBS_MD!$E:$E,A3)</f>
        <v>314975000</v>
      </c>
      <c r="E3" s="6" t="n">
        <f aca="false">ROUND(D3/Nhan_cong!$F$7*Tong_hop!$B$8,0)</f>
        <v>388159748</v>
      </c>
    </row>
    <row r="4" customFormat="false" ht="15" hidden="false" customHeight="false" outlineLevel="0" collapsed="false">
      <c r="A4" s="14" t="s">
        <v>241</v>
      </c>
      <c r="B4" s="19" t="s">
        <v>536</v>
      </c>
      <c r="C4" s="16" t="n">
        <f aca="false">SUMIFS(WBS_MD!$D:$D,WBS_MD!$E:$E,A4)</f>
        <v>207.5</v>
      </c>
      <c r="D4" s="6" t="n">
        <f aca="false">SUMIFS(WBS_MD!$F:$F,WBS_MD!$E:$E,A4)</f>
        <v>445075000</v>
      </c>
      <c r="E4" s="6" t="n">
        <f aca="false">ROUND(D4/Nhan_cong!$F$7*Tong_hop!$B$8,0)</f>
        <v>548488609</v>
      </c>
    </row>
    <row r="5" customFormat="false" ht="15" hidden="false" customHeight="false" outlineLevel="0" collapsed="false">
      <c r="A5" s="14" t="s">
        <v>336</v>
      </c>
      <c r="B5" s="19" t="s">
        <v>537</v>
      </c>
      <c r="C5" s="16" t="n">
        <f aca="false">SUMIFS(WBS_MD!$D:$D,WBS_MD!$E:$E,A5)</f>
        <v>152</v>
      </c>
      <c r="D5" s="6" t="n">
        <f aca="false">SUMIFS(WBS_MD!$F:$F,WBS_MD!$E:$E,A5)</f>
        <v>334400000</v>
      </c>
      <c r="E5" s="6" t="n">
        <f aca="false">ROUND(D5/Nhan_cong!$F$7*Tong_hop!$B$8,0)</f>
        <v>412098166</v>
      </c>
    </row>
    <row r="6" customFormat="false" ht="15" hidden="false" customHeight="false" outlineLevel="0" collapsed="false">
      <c r="A6" s="14" t="s">
        <v>407</v>
      </c>
      <c r="B6" s="19" t="s">
        <v>538</v>
      </c>
      <c r="C6" s="16" t="n">
        <f aca="false">SUMIFS(WBS_MD!$D:$D,WBS_MD!$E:$E,A6)</f>
        <v>75</v>
      </c>
      <c r="D6" s="6" t="n">
        <f aca="false">SUMIFS(WBS_MD!$F:$F,WBS_MD!$E:$E,A6)</f>
        <v>159500000</v>
      </c>
      <c r="E6" s="6" t="n">
        <f aca="false">Tong_hop!$B$8-SUM(E2:E5)</f>
        <v>196559980</v>
      </c>
    </row>
    <row r="7" customFormat="false" ht="15" hidden="false" customHeight="false" outlineLevel="0" collapsed="false">
      <c r="B7" s="4" t="s">
        <v>528</v>
      </c>
      <c r="C7" s="17" t="n">
        <f aca="false">SUM(C2:C6)</f>
        <v>733</v>
      </c>
      <c r="D7" s="18" t="n">
        <f aca="false">SUM(D2:D6)</f>
        <v>1581550000</v>
      </c>
      <c r="E7" s="18" t="n">
        <f aca="false">SUM(E2:E6)</f>
        <v>1949024682</v>
      </c>
    </row>
    <row r="9" customFormat="false" ht="15" hidden="false" customHeight="false" outlineLevel="0" collapsed="false">
      <c r="A9" s="8" t="s">
        <v>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60"/>
    <col collapsed="false" customWidth="true" hidden="false" outlineLevel="0" max="4" min="4" style="0" width="12"/>
    <col collapsed="false" customWidth="true" hidden="false" outlineLevel="0" max="5" min="5" style="0" width="14"/>
    <col collapsed="false" customWidth="true" hidden="false" outlineLevel="0" max="6" min="6" style="0" width="18"/>
    <col collapsed="false" customWidth="true" hidden="false" outlineLevel="0" max="7" min="7" style="0" width="14"/>
    <col collapsed="false" customWidth="true" hidden="false" outlineLevel="0" max="8" min="8" style="0" width="18"/>
    <col collapsed="false" customWidth="true" hidden="false" outlineLevel="0" max="9" min="9" style="0" width="34"/>
  </cols>
  <sheetData>
    <row r="1" customFormat="false" ht="25" hidden="false" customHeight="false" outlineLevel="0" collapsed="false">
      <c r="A1" s="3" t="s">
        <v>540</v>
      </c>
      <c r="B1" s="3" t="s">
        <v>541</v>
      </c>
      <c r="C1" s="3" t="s">
        <v>542</v>
      </c>
      <c r="D1" s="3" t="s">
        <v>543</v>
      </c>
      <c r="E1" s="3" t="s">
        <v>544</v>
      </c>
      <c r="F1" s="3" t="s">
        <v>451</v>
      </c>
      <c r="G1" s="3" t="s">
        <v>545</v>
      </c>
      <c r="H1" s="3" t="s">
        <v>546</v>
      </c>
      <c r="I1" s="3" t="s">
        <v>547</v>
      </c>
    </row>
    <row r="2" customFormat="false" ht="15" hidden="false" customHeight="false" outlineLevel="0" collapsed="false">
      <c r="A2" s="14" t="n">
        <v>1</v>
      </c>
      <c r="B2" s="13" t="n">
        <v>0.15</v>
      </c>
      <c r="C2" s="19" t="s">
        <v>548</v>
      </c>
      <c r="D2" s="14" t="s">
        <v>549</v>
      </c>
      <c r="E2" s="21" t="n">
        <f aca="false">IF(G2="","",G2+Tham_so!$B$10)</f>
        <v>46479</v>
      </c>
      <c r="F2" s="6" t="n">
        <f aca="false">B2*H2</f>
        <v>262500000</v>
      </c>
      <c r="G2" s="22" t="n">
        <v>46464</v>
      </c>
      <c r="H2" s="6" t="n">
        <f aca="false">Tong_hop!$B$8-Tham_so!$B$15</f>
        <v>1750000000</v>
      </c>
      <c r="I2" s="19" t="s">
        <v>550</v>
      </c>
    </row>
    <row r="3" customFormat="false" ht="15" hidden="false" customHeight="false" outlineLevel="0" collapsed="false">
      <c r="A3" s="14" t="n">
        <v>2</v>
      </c>
      <c r="B3" s="13" t="n">
        <v>0.25</v>
      </c>
      <c r="C3" s="19" t="s">
        <v>551</v>
      </c>
      <c r="D3" s="14" t="s">
        <v>552</v>
      </c>
      <c r="E3" s="21" t="n">
        <f aca="false">IF(G3="","",G3+Tham_so!$B$10)</f>
        <v>46528</v>
      </c>
      <c r="F3" s="6" t="n">
        <f aca="false">B3*H3</f>
        <v>437500000</v>
      </c>
      <c r="G3" s="22" t="n">
        <v>46513</v>
      </c>
      <c r="H3" s="6" t="n">
        <f aca="false">Tong_hop!$B$8-Tham_so!$B$15</f>
        <v>1750000000</v>
      </c>
      <c r="I3" s="19" t="s">
        <v>550</v>
      </c>
    </row>
    <row r="4" customFormat="false" ht="25" hidden="false" customHeight="false" outlineLevel="0" collapsed="false">
      <c r="A4" s="14" t="n">
        <v>3</v>
      </c>
      <c r="B4" s="13" t="n">
        <v>0.3</v>
      </c>
      <c r="C4" s="19" t="s">
        <v>553</v>
      </c>
      <c r="D4" s="14" t="s">
        <v>554</v>
      </c>
      <c r="E4" s="21" t="n">
        <f aca="false">IF(G4="","",G4+Tham_so!$B$10)</f>
        <v>46591</v>
      </c>
      <c r="F4" s="6" t="n">
        <f aca="false">B4*H4</f>
        <v>525000000</v>
      </c>
      <c r="G4" s="22" t="n">
        <v>46576</v>
      </c>
      <c r="H4" s="6" t="n">
        <f aca="false">Tong_hop!$B$8-Tham_so!$B$15</f>
        <v>1750000000</v>
      </c>
      <c r="I4" s="19" t="s">
        <v>550</v>
      </c>
    </row>
    <row r="5" customFormat="false" ht="15" hidden="false" customHeight="false" outlineLevel="0" collapsed="false">
      <c r="A5" s="14" t="n">
        <v>4</v>
      </c>
      <c r="B5" s="13" t="n">
        <v>0.25</v>
      </c>
      <c r="C5" s="19" t="s">
        <v>555</v>
      </c>
      <c r="D5" s="14" t="s">
        <v>556</v>
      </c>
      <c r="E5" s="21" t="n">
        <f aca="false">IF(G5="","",G5+Tham_so!$B$10)</f>
        <v>46612</v>
      </c>
      <c r="F5" s="6" t="n">
        <f aca="false">B5*H5</f>
        <v>437500000</v>
      </c>
      <c r="G5" s="22" t="n">
        <v>46597</v>
      </c>
      <c r="H5" s="6" t="n">
        <f aca="false">Tong_hop!$B$8-Tham_so!$B$15</f>
        <v>1750000000</v>
      </c>
      <c r="I5" s="19" t="s">
        <v>550</v>
      </c>
    </row>
    <row r="6" customFormat="false" ht="15" hidden="false" customHeight="false" outlineLevel="0" collapsed="false">
      <c r="A6" s="14" t="n">
        <v>5</v>
      </c>
      <c r="B6" s="13" t="n">
        <v>0.05</v>
      </c>
      <c r="C6" s="19" t="s">
        <v>557</v>
      </c>
      <c r="D6" s="14" t="s">
        <v>556</v>
      </c>
      <c r="E6" s="21" t="n">
        <f aca="false">IF(G6="","",G6+Tham_so!$B$10)</f>
        <v>46612</v>
      </c>
      <c r="F6" s="6" t="n">
        <f aca="false">B6*H6</f>
        <v>87500000</v>
      </c>
      <c r="G6" s="22" t="n">
        <v>46597</v>
      </c>
      <c r="H6" s="6" t="n">
        <f aca="false">Tong_hop!$B$8-Tham_so!$B$15</f>
        <v>1750000000</v>
      </c>
      <c r="I6" s="19" t="s">
        <v>550</v>
      </c>
    </row>
    <row r="7" customFormat="false" ht="25" hidden="false" customHeight="false" outlineLevel="0" collapsed="false">
      <c r="A7" s="14" t="n">
        <v>6</v>
      </c>
      <c r="B7" s="13" t="n">
        <v>1</v>
      </c>
      <c r="C7" s="19" t="s">
        <v>558</v>
      </c>
      <c r="D7" s="14" t="s">
        <v>556</v>
      </c>
      <c r="E7" s="21" t="n">
        <f aca="false">IF(G7="","",G7+Tham_so!$B$10)</f>
        <v>46610</v>
      </c>
      <c r="F7" s="6" t="n">
        <f aca="false">B7*H7</f>
        <v>199024682</v>
      </c>
      <c r="G7" s="22" t="n">
        <v>46595</v>
      </c>
      <c r="H7" s="6" t="n">
        <f aca="false">Tham_so!$B$15</f>
        <v>199024682</v>
      </c>
      <c r="I7" s="19" t="s">
        <v>559</v>
      </c>
    </row>
    <row r="9" customFormat="false" ht="15" hidden="false" customHeight="false" outlineLevel="0" collapsed="false">
      <c r="A9" s="8" t="s">
        <v>560</v>
      </c>
    </row>
    <row r="10" customFormat="false" ht="48.85" hidden="false" customHeight="false" outlineLevel="0" collapsed="false">
      <c r="A10" s="3" t="s">
        <v>561</v>
      </c>
      <c r="B10" s="3" t="s">
        <v>562</v>
      </c>
      <c r="C10" s="3" t="s">
        <v>563</v>
      </c>
      <c r="D10" s="3" t="s">
        <v>564</v>
      </c>
      <c r="E10" s="3" t="s">
        <v>565</v>
      </c>
      <c r="F10" s="3" t="s">
        <v>566</v>
      </c>
      <c r="G10" s="3" t="s">
        <v>567</v>
      </c>
      <c r="H10" s="3" t="s">
        <v>568</v>
      </c>
    </row>
    <row r="11" customFormat="false" ht="15" hidden="false" customHeight="false" outlineLevel="0" collapsed="false">
      <c r="A11" s="14" t="s">
        <v>569</v>
      </c>
      <c r="B11" s="6" t="n">
        <f aca="false">SUMIFS(Phan_bo_luong!$E:$E,Phan_bo_luong!$F:$F,A11)</f>
        <v>108289852.272727</v>
      </c>
      <c r="C11" s="6" t="n">
        <f aca="false">SUMIFS(Huy_dong_luong!$E:$E,Huy_dong_luong!$F:$F,A11)</f>
        <v>153252272.727273</v>
      </c>
      <c r="D11" s="6" t="n">
        <f aca="false">SUMIFS($F$2:$F$7,$D$2:$D$7,A11)</f>
        <v>0</v>
      </c>
      <c r="E11" s="6" t="n">
        <f aca="false">IF(Tham_so!$B$19="cong_suc",B11,C11)+H11</f>
        <v>123289852.272727</v>
      </c>
      <c r="F11" s="6" t="n">
        <f aca="false">D11</f>
        <v>0</v>
      </c>
      <c r="G11" s="6" t="n">
        <f aca="false">F11-E11</f>
        <v>-123289852.272727</v>
      </c>
      <c r="H11" s="12" t="n">
        <v>15000000</v>
      </c>
    </row>
    <row r="12" customFormat="false" ht="15" hidden="false" customHeight="false" outlineLevel="0" collapsed="false">
      <c r="A12" s="14" t="s">
        <v>549</v>
      </c>
      <c r="B12" s="6" t="n">
        <f aca="false">SUMIFS(Phan_bo_luong!$E:$E,Phan_bo_luong!$F:$F,A12)</f>
        <v>135984165.909091</v>
      </c>
      <c r="C12" s="6" t="n">
        <f aca="false">SUMIFS(Huy_dong_luong!$E:$E,Huy_dong_luong!$F:$F,A12)</f>
        <v>183565909.090909</v>
      </c>
      <c r="D12" s="6" t="n">
        <f aca="false">SUMIFS($F$2:$F$7,$D$2:$D$7,A12)</f>
        <v>262500000</v>
      </c>
      <c r="E12" s="6" t="n">
        <f aca="false">IF(Tham_so!$B$19="cong_suc",B12,C12)+H12+E11</f>
        <v>266774018.181818</v>
      </c>
      <c r="F12" s="6" t="n">
        <f aca="false">D12+F11</f>
        <v>262500000</v>
      </c>
      <c r="G12" s="6" t="n">
        <f aca="false">F12-E12</f>
        <v>-4274018.18181822</v>
      </c>
      <c r="H12" s="12" t="n">
        <v>7500000</v>
      </c>
    </row>
    <row r="13" customFormat="false" ht="15" hidden="false" customHeight="false" outlineLevel="0" collapsed="false">
      <c r="A13" s="14" t="s">
        <v>570</v>
      </c>
      <c r="B13" s="6" t="n">
        <f aca="false">SUMIFS(Phan_bo_luong!$E:$E,Phan_bo_luong!$F:$F,A13)</f>
        <v>232075586.363636</v>
      </c>
      <c r="C13" s="6" t="n">
        <f aca="false">SUMIFS(Huy_dong_luong!$E:$E,Huy_dong_luong!$F:$F,A13)</f>
        <v>278043409.090909</v>
      </c>
      <c r="D13" s="6" t="n">
        <f aca="false">SUMIFS($F$2:$F$7,$D$2:$D$7,A13)</f>
        <v>0</v>
      </c>
      <c r="E13" s="6" t="n">
        <f aca="false">IF(Tham_so!$B$19="cong_suc",B13,C13)+H13+E12</f>
        <v>506349604.545455</v>
      </c>
      <c r="F13" s="6" t="n">
        <f aca="false">D13+F12</f>
        <v>262500000</v>
      </c>
      <c r="G13" s="6" t="n">
        <f aca="false">F13-E13</f>
        <v>-243849604.545455</v>
      </c>
      <c r="H13" s="12" t="n">
        <v>7500000</v>
      </c>
    </row>
    <row r="14" customFormat="false" ht="15" hidden="false" customHeight="false" outlineLevel="0" collapsed="false">
      <c r="A14" s="14" t="s">
        <v>571</v>
      </c>
      <c r="B14" s="6" t="n">
        <f aca="false">SUMIFS(Phan_bo_luong!$E:$E,Phan_bo_luong!$F:$F,A14)</f>
        <v>202660693.181818</v>
      </c>
      <c r="C14" s="6" t="n">
        <f aca="false">SUMIFS(Huy_dong_luong!$E:$E,Huy_dong_luong!$F:$F,A14)</f>
        <v>213879545.454546</v>
      </c>
      <c r="D14" s="6" t="n">
        <f aca="false">SUMIFS($F$2:$F$7,$D$2:$D$7,A14)</f>
        <v>0</v>
      </c>
      <c r="E14" s="6" t="n">
        <f aca="false">IF(Tham_so!$B$19="cong_suc",B14,C14)+H14+E13</f>
        <v>716510297.727273</v>
      </c>
      <c r="F14" s="6" t="n">
        <f aca="false">D14+F13</f>
        <v>262500000</v>
      </c>
      <c r="G14" s="6" t="n">
        <f aca="false">F14-E14</f>
        <v>-454010297.727273</v>
      </c>
      <c r="H14" s="12" t="n">
        <v>7500000</v>
      </c>
    </row>
    <row r="15" customFormat="false" ht="15" hidden="false" customHeight="false" outlineLevel="0" collapsed="false">
      <c r="A15" s="14" t="s">
        <v>552</v>
      </c>
      <c r="B15" s="6" t="n">
        <f aca="false">SUMIFS(Phan_bo_luong!$E:$E,Phan_bo_luong!$F:$F,A15)</f>
        <v>165253104.545455</v>
      </c>
      <c r="C15" s="6" t="n">
        <f aca="false">SUMIFS(Huy_dong_luong!$E:$E,Huy_dong_luong!$F:$F,A15)</f>
        <v>213879545.454546</v>
      </c>
      <c r="D15" s="6" t="n">
        <f aca="false">SUMIFS($F$2:$F$7,$D$2:$D$7,A15)</f>
        <v>437500000</v>
      </c>
      <c r="E15" s="6" t="n">
        <f aca="false">IF(Tham_so!$B$19="cong_suc",B15,C15)+H15+E14</f>
        <v>889263402.272727</v>
      </c>
      <c r="F15" s="6" t="n">
        <f aca="false">D15+F14</f>
        <v>700000000</v>
      </c>
      <c r="G15" s="6" t="n">
        <f aca="false">F15-E15</f>
        <v>-189263402.272727</v>
      </c>
      <c r="H15" s="12" t="n">
        <v>7500000</v>
      </c>
    </row>
    <row r="16" customFormat="false" ht="15" hidden="false" customHeight="false" outlineLevel="0" collapsed="false">
      <c r="A16" s="14" t="s">
        <v>572</v>
      </c>
      <c r="B16" s="6" t="n">
        <f aca="false">SUMIFS(Phan_bo_luong!$E:$E,Phan_bo_luong!$F:$F,A16)</f>
        <v>161573927.272727</v>
      </c>
      <c r="C16" s="6" t="n">
        <f aca="false">SUMIFS(Huy_dong_luong!$E:$E,Huy_dong_luong!$F:$F,A16)</f>
        <v>213879545.454546</v>
      </c>
      <c r="D16" s="6" t="n">
        <f aca="false">SUMIFS($F$2:$F$7,$D$2:$D$7,A16)</f>
        <v>0</v>
      </c>
      <c r="E16" s="6" t="n">
        <f aca="false">IF(Tham_so!$B$19="cong_suc",B16,C16)+H16+E15</f>
        <v>1058337329.54545</v>
      </c>
      <c r="F16" s="6" t="n">
        <f aca="false">D16+F15</f>
        <v>700000000</v>
      </c>
      <c r="G16" s="6" t="n">
        <f aca="false">F16-E16</f>
        <v>-358337329.545455</v>
      </c>
      <c r="H16" s="12" t="n">
        <v>7500000</v>
      </c>
    </row>
    <row r="17" customFormat="false" ht="15" hidden="false" customHeight="false" outlineLevel="0" collapsed="false">
      <c r="A17" s="14" t="s">
        <v>573</v>
      </c>
      <c r="B17" s="6" t="n">
        <f aca="false">SUMIFS(Phan_bo_luong!$E:$E,Phan_bo_luong!$F:$F,A17)</f>
        <v>103544645.454545</v>
      </c>
      <c r="C17" s="6" t="n">
        <f aca="false">SUMIFS(Huy_dong_luong!$E:$E,Huy_dong_luong!$F:$F,A17)</f>
        <v>117381136.363636</v>
      </c>
      <c r="D17" s="6" t="n">
        <f aca="false">SUMIFS($F$2:$F$7,$D$2:$D$7,A17)</f>
        <v>0</v>
      </c>
      <c r="E17" s="6" t="n">
        <f aca="false">IF(Tham_so!$B$19="cong_suc",B17,C17)+H17+E16</f>
        <v>1169381975</v>
      </c>
      <c r="F17" s="6" t="n">
        <f aca="false">D17+F16</f>
        <v>700000000</v>
      </c>
      <c r="G17" s="6" t="n">
        <f aca="false">F17-E17</f>
        <v>-469381975</v>
      </c>
      <c r="H17" s="12" t="n">
        <v>7500000</v>
      </c>
    </row>
    <row r="18" customFormat="false" ht="15" hidden="false" customHeight="false" outlineLevel="0" collapsed="false">
      <c r="A18" s="14" t="s">
        <v>574</v>
      </c>
      <c r="B18" s="6" t="n">
        <f aca="false">SUMIFS(Phan_bo_luong!$E:$E,Phan_bo_luong!$F:$F,A18)</f>
        <v>81623956.8181818</v>
      </c>
      <c r="C18" s="6" t="n">
        <f aca="false">SUMIFS(Huy_dong_luong!$E:$E,Huy_dong_luong!$F:$F,A18)</f>
        <v>104750454.545455</v>
      </c>
      <c r="D18" s="6" t="n">
        <f aca="false">SUMIFS($F$2:$F$7,$D$2:$D$7,A18)</f>
        <v>0</v>
      </c>
      <c r="E18" s="6" t="n">
        <f aca="false">IF(Tham_so!$B$19="cong_suc",B18,C18)+H18+E17</f>
        <v>1251005931.81818</v>
      </c>
      <c r="F18" s="6" t="n">
        <f aca="false">D18+F17</f>
        <v>700000000</v>
      </c>
      <c r="G18" s="6" t="n">
        <f aca="false">F18-E18</f>
        <v>-551005931.818182</v>
      </c>
      <c r="H18" s="12" t="n">
        <v>0</v>
      </c>
    </row>
    <row r="19" customFormat="false" ht="15" hidden="false" customHeight="false" outlineLevel="0" collapsed="false">
      <c r="A19" s="14" t="s">
        <v>554</v>
      </c>
      <c r="B19" s="6" t="n">
        <f aca="false">SUMIFS(Phan_bo_luong!$E:$E,Phan_bo_luong!$F:$F,A19)</f>
        <v>131107600</v>
      </c>
      <c r="C19" s="6" t="n">
        <f aca="false">SUMIFS(Huy_dong_luong!$E:$E,Huy_dong_luong!$F:$F,A19)</f>
        <v>155778409.090909</v>
      </c>
      <c r="D19" s="6" t="n">
        <f aca="false">SUMIFS($F$2:$F$7,$D$2:$D$7,A19)</f>
        <v>525000000</v>
      </c>
      <c r="E19" s="6" t="n">
        <f aca="false">IF(Tham_so!$B$19="cong_suc",B19,C19)+H19+E18</f>
        <v>1382113531.81818</v>
      </c>
      <c r="F19" s="6" t="n">
        <f aca="false">D19+F18</f>
        <v>1225000000</v>
      </c>
      <c r="G19" s="6" t="n">
        <f aca="false">F19-E19</f>
        <v>-157113531.818182</v>
      </c>
      <c r="H19" s="12" t="n">
        <v>0</v>
      </c>
    </row>
    <row r="20" customFormat="false" ht="15" hidden="false" customHeight="false" outlineLevel="0" collapsed="false">
      <c r="A20" s="14" t="s">
        <v>556</v>
      </c>
      <c r="B20" s="6" t="n">
        <f aca="false">SUMIFS(Phan_bo_luong!$E:$E,Phan_bo_luong!$F:$F,A20)</f>
        <v>5725909.09090909</v>
      </c>
      <c r="C20" s="6" t="n">
        <f aca="false">SUMIFS(Huy_dong_luong!$E:$E,Huy_dong_luong!$F:$F,A20)</f>
        <v>5725909.09090909</v>
      </c>
      <c r="D20" s="6" t="n">
        <f aca="false">SUMIFS($F$2:$F$7,$D$2:$D$7,A20)</f>
        <v>724024682</v>
      </c>
      <c r="E20" s="6" t="n">
        <f aca="false">IF(Tham_so!$B$19="cong_suc",B20,C20)+H20+E19</f>
        <v>1427839440.90909</v>
      </c>
      <c r="F20" s="6" t="n">
        <f aca="false">D20+F19</f>
        <v>1949024682</v>
      </c>
      <c r="G20" s="6" t="n">
        <f aca="false">F20-E20</f>
        <v>521185241.090909</v>
      </c>
      <c r="H20" s="12" t="n">
        <v>40000000</v>
      </c>
    </row>
    <row r="21" customFormat="false" ht="15" hidden="false" customHeight="false" outlineLevel="0" collapsed="false">
      <c r="G21" s="14" t="s">
        <v>575</v>
      </c>
      <c r="H21" s="2" t="str">
        <f aca="false">IF(ABS(SUM(H11:H20)-(Chi_phi_khac!C2+Chi_phi_khac!C3))&lt;1,"Đạt","Lệch")</f>
        <v>Đạt</v>
      </c>
    </row>
  </sheetData>
  <conditionalFormatting sqref="G11:G20">
    <cfRule type="expression" priority="2" aboveAverage="0" equalAverage="0" bottom="0" percent="0" rank="0" text="" dxfId="0">
      <formula>G11&lt;0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s>
  <sheetData>
    <row r="1" customFormat="false" ht="25" hidden="false" customHeight="false" outlineLevel="0" collapsed="false">
      <c r="A1" s="3" t="s">
        <v>576</v>
      </c>
      <c r="B1" s="3" t="s">
        <v>561</v>
      </c>
      <c r="C1" s="3" t="s">
        <v>467</v>
      </c>
      <c r="D1" s="3" t="s">
        <v>577</v>
      </c>
      <c r="E1" s="3" t="s">
        <v>578</v>
      </c>
      <c r="F1" s="3" t="s">
        <v>579</v>
      </c>
    </row>
    <row r="2" customFormat="false" ht="15" hidden="false" customHeight="false" outlineLevel="0" collapsed="false">
      <c r="A2" s="14" t="s">
        <v>472</v>
      </c>
      <c r="B2" s="14" t="s">
        <v>569</v>
      </c>
      <c r="C2" s="15" t="n">
        <v>10</v>
      </c>
      <c r="D2" s="5" t="n">
        <f aca="false">INDEX(Doi_chieu_nguoi!$F$2:$F$13,MATCH(A2,Doi_chieu_nguoi!$A$2:$A$13,0))</f>
        <v>2862954.54545455</v>
      </c>
      <c r="E2" s="6" t="n">
        <f aca="false">C2*D2</f>
        <v>28629545.4545455</v>
      </c>
      <c r="F2" s="14" t="s">
        <v>569</v>
      </c>
    </row>
    <row r="3" customFormat="false" ht="15" hidden="false" customHeight="false" outlineLevel="0" collapsed="false">
      <c r="A3" s="14" t="s">
        <v>472</v>
      </c>
      <c r="B3" s="14" t="s">
        <v>549</v>
      </c>
      <c r="C3" s="15" t="n">
        <v>10</v>
      </c>
      <c r="D3" s="5" t="n">
        <f aca="false">INDEX(Doi_chieu_nguoi!$F$2:$F$13,MATCH(A3,Doi_chieu_nguoi!$A$2:$A$13,0))</f>
        <v>2862954.54545455</v>
      </c>
      <c r="E3" s="6" t="n">
        <f aca="false">C3*D3</f>
        <v>28629545.4545455</v>
      </c>
      <c r="F3" s="14" t="s">
        <v>549</v>
      </c>
    </row>
    <row r="4" customFormat="false" ht="15" hidden="false" customHeight="false" outlineLevel="0" collapsed="false">
      <c r="A4" s="14" t="s">
        <v>472</v>
      </c>
      <c r="B4" s="14" t="s">
        <v>570</v>
      </c>
      <c r="C4" s="15" t="n">
        <v>13</v>
      </c>
      <c r="D4" s="5" t="n">
        <f aca="false">INDEX(Doi_chieu_nguoi!$F$2:$F$13,MATCH(A4,Doi_chieu_nguoi!$A$2:$A$13,0))</f>
        <v>2862954.54545455</v>
      </c>
      <c r="E4" s="6" t="n">
        <f aca="false">C4*D4</f>
        <v>37218409.0909091</v>
      </c>
      <c r="F4" s="14" t="s">
        <v>570</v>
      </c>
    </row>
    <row r="5" customFormat="false" ht="15" hidden="false" customHeight="false" outlineLevel="0" collapsed="false">
      <c r="A5" s="14" t="s">
        <v>472</v>
      </c>
      <c r="B5" s="14" t="s">
        <v>571</v>
      </c>
      <c r="C5" s="15" t="n">
        <v>10</v>
      </c>
      <c r="D5" s="5" t="n">
        <f aca="false">INDEX(Doi_chieu_nguoi!$F$2:$F$13,MATCH(A5,Doi_chieu_nguoi!$A$2:$A$13,0))</f>
        <v>2862954.54545455</v>
      </c>
      <c r="E5" s="6" t="n">
        <f aca="false">C5*D5</f>
        <v>28629545.4545455</v>
      </c>
      <c r="F5" s="14" t="s">
        <v>571</v>
      </c>
    </row>
    <row r="6" customFormat="false" ht="15" hidden="false" customHeight="false" outlineLevel="0" collapsed="false">
      <c r="A6" s="14" t="s">
        <v>472</v>
      </c>
      <c r="B6" s="14" t="s">
        <v>552</v>
      </c>
      <c r="C6" s="15" t="n">
        <v>10</v>
      </c>
      <c r="D6" s="5" t="n">
        <f aca="false">INDEX(Doi_chieu_nguoi!$F$2:$F$13,MATCH(A6,Doi_chieu_nguoi!$A$2:$A$13,0))</f>
        <v>2862954.54545455</v>
      </c>
      <c r="E6" s="6" t="n">
        <f aca="false">C6*D6</f>
        <v>28629545.4545455</v>
      </c>
      <c r="F6" s="14" t="s">
        <v>552</v>
      </c>
    </row>
    <row r="7" customFormat="false" ht="15" hidden="false" customHeight="false" outlineLevel="0" collapsed="false">
      <c r="A7" s="14" t="s">
        <v>472</v>
      </c>
      <c r="B7" s="14" t="s">
        <v>572</v>
      </c>
      <c r="C7" s="15" t="n">
        <v>10</v>
      </c>
      <c r="D7" s="5" t="n">
        <f aca="false">INDEX(Doi_chieu_nguoi!$F$2:$F$13,MATCH(A7,Doi_chieu_nguoi!$A$2:$A$13,0))</f>
        <v>2862954.54545455</v>
      </c>
      <c r="E7" s="6" t="n">
        <f aca="false">C7*D7</f>
        <v>28629545.4545455</v>
      </c>
      <c r="F7" s="14" t="s">
        <v>572</v>
      </c>
    </row>
    <row r="8" customFormat="false" ht="15" hidden="false" customHeight="false" outlineLevel="0" collapsed="false">
      <c r="A8" s="14" t="s">
        <v>472</v>
      </c>
      <c r="B8" s="14" t="s">
        <v>573</v>
      </c>
      <c r="C8" s="15" t="n">
        <v>7</v>
      </c>
      <c r="D8" s="5" t="n">
        <f aca="false">INDEX(Doi_chieu_nguoi!$F$2:$F$13,MATCH(A8,Doi_chieu_nguoi!$A$2:$A$13,0))</f>
        <v>2862954.54545455</v>
      </c>
      <c r="E8" s="6" t="n">
        <f aca="false">C8*D8</f>
        <v>20040681.8181818</v>
      </c>
      <c r="F8" s="14" t="s">
        <v>573</v>
      </c>
    </row>
    <row r="9" customFormat="false" ht="15" hidden="false" customHeight="false" outlineLevel="0" collapsed="false">
      <c r="A9" s="14" t="s">
        <v>472</v>
      </c>
      <c r="B9" s="14" t="s">
        <v>574</v>
      </c>
      <c r="C9" s="15" t="n">
        <v>8</v>
      </c>
      <c r="D9" s="5" t="n">
        <f aca="false">INDEX(Doi_chieu_nguoi!$F$2:$F$13,MATCH(A9,Doi_chieu_nguoi!$A$2:$A$13,0))</f>
        <v>2862954.54545455</v>
      </c>
      <c r="E9" s="6" t="n">
        <f aca="false">C9*D9</f>
        <v>22903636.3636364</v>
      </c>
      <c r="F9" s="14" t="s">
        <v>574</v>
      </c>
    </row>
    <row r="10" customFormat="false" ht="15" hidden="false" customHeight="false" outlineLevel="0" collapsed="false">
      <c r="A10" s="14" t="s">
        <v>472</v>
      </c>
      <c r="B10" s="14" t="s">
        <v>554</v>
      </c>
      <c r="C10" s="15" t="n">
        <v>6</v>
      </c>
      <c r="D10" s="5" t="n">
        <f aca="false">INDEX(Doi_chieu_nguoi!$F$2:$F$13,MATCH(A10,Doi_chieu_nguoi!$A$2:$A$13,0))</f>
        <v>2862954.54545455</v>
      </c>
      <c r="E10" s="6" t="n">
        <f aca="false">C10*D10</f>
        <v>17177727.2727273</v>
      </c>
      <c r="F10" s="14" t="s">
        <v>554</v>
      </c>
    </row>
    <row r="11" customFormat="false" ht="15" hidden="false" customHeight="false" outlineLevel="0" collapsed="false">
      <c r="A11" s="14" t="s">
        <v>472</v>
      </c>
      <c r="B11" s="14" t="s">
        <v>580</v>
      </c>
      <c r="C11" s="15" t="n">
        <v>2</v>
      </c>
      <c r="D11" s="5" t="n">
        <f aca="false">INDEX(Doi_chieu_nguoi!$F$2:$F$13,MATCH(A11,Doi_chieu_nguoi!$A$2:$A$13,0))</f>
        <v>2862954.54545455</v>
      </c>
      <c r="E11" s="6" t="n">
        <f aca="false">C11*D11</f>
        <v>5725909.09090909</v>
      </c>
      <c r="F11" s="14" t="s">
        <v>556</v>
      </c>
    </row>
    <row r="12" customFormat="false" ht="15" hidden="false" customHeight="false" outlineLevel="0" collapsed="false">
      <c r="A12" s="14" t="s">
        <v>475</v>
      </c>
      <c r="B12" s="14" t="s">
        <v>569</v>
      </c>
      <c r="C12" s="15" t="n">
        <v>10</v>
      </c>
      <c r="D12" s="5" t="n">
        <f aca="false">INDEX(Doi_chieu_nguoi!$F$2:$F$13,MATCH(A12,Doi_chieu_nguoi!$A$2:$A$13,0))</f>
        <v>1684090.90909091</v>
      </c>
      <c r="E12" s="6" t="n">
        <f aca="false">C12*D12</f>
        <v>16840909.0909091</v>
      </c>
      <c r="F12" s="14" t="s">
        <v>569</v>
      </c>
    </row>
    <row r="13" customFormat="false" ht="15" hidden="false" customHeight="false" outlineLevel="0" collapsed="false">
      <c r="A13" s="14" t="s">
        <v>475</v>
      </c>
      <c r="B13" s="14" t="s">
        <v>549</v>
      </c>
      <c r="C13" s="15" t="n">
        <v>10</v>
      </c>
      <c r="D13" s="5" t="n">
        <f aca="false">INDEX(Doi_chieu_nguoi!$F$2:$F$13,MATCH(A13,Doi_chieu_nguoi!$A$2:$A$13,0))</f>
        <v>1684090.90909091</v>
      </c>
      <c r="E13" s="6" t="n">
        <f aca="false">C13*D13</f>
        <v>16840909.0909091</v>
      </c>
      <c r="F13" s="14" t="s">
        <v>549</v>
      </c>
    </row>
    <row r="14" customFormat="false" ht="15" hidden="false" customHeight="false" outlineLevel="0" collapsed="false">
      <c r="A14" s="14" t="s">
        <v>475</v>
      </c>
      <c r="B14" s="14" t="s">
        <v>570</v>
      </c>
      <c r="C14" s="15" t="n">
        <v>13</v>
      </c>
      <c r="D14" s="5" t="n">
        <f aca="false">INDEX(Doi_chieu_nguoi!$F$2:$F$13,MATCH(A14,Doi_chieu_nguoi!$A$2:$A$13,0))</f>
        <v>1684090.90909091</v>
      </c>
      <c r="E14" s="6" t="n">
        <f aca="false">C14*D14</f>
        <v>21893181.8181818</v>
      </c>
      <c r="F14" s="14" t="s">
        <v>570</v>
      </c>
    </row>
    <row r="15" customFormat="false" ht="15" hidden="false" customHeight="false" outlineLevel="0" collapsed="false">
      <c r="A15" s="14" t="s">
        <v>475</v>
      </c>
      <c r="B15" s="14" t="s">
        <v>571</v>
      </c>
      <c r="C15" s="15" t="n">
        <v>10</v>
      </c>
      <c r="D15" s="5" t="n">
        <f aca="false">INDEX(Doi_chieu_nguoi!$F$2:$F$13,MATCH(A15,Doi_chieu_nguoi!$A$2:$A$13,0))</f>
        <v>1684090.90909091</v>
      </c>
      <c r="E15" s="6" t="n">
        <f aca="false">C15*D15</f>
        <v>16840909.0909091</v>
      </c>
      <c r="F15" s="14" t="s">
        <v>571</v>
      </c>
    </row>
    <row r="16" customFormat="false" ht="15" hidden="false" customHeight="false" outlineLevel="0" collapsed="false">
      <c r="A16" s="14" t="s">
        <v>475</v>
      </c>
      <c r="B16" s="14" t="s">
        <v>552</v>
      </c>
      <c r="C16" s="15" t="n">
        <v>10</v>
      </c>
      <c r="D16" s="5" t="n">
        <f aca="false">INDEX(Doi_chieu_nguoi!$F$2:$F$13,MATCH(A16,Doi_chieu_nguoi!$A$2:$A$13,0))</f>
        <v>1684090.90909091</v>
      </c>
      <c r="E16" s="6" t="n">
        <f aca="false">C16*D16</f>
        <v>16840909.0909091</v>
      </c>
      <c r="F16" s="14" t="s">
        <v>552</v>
      </c>
    </row>
    <row r="17" customFormat="false" ht="15" hidden="false" customHeight="false" outlineLevel="0" collapsed="false">
      <c r="A17" s="14" t="s">
        <v>475</v>
      </c>
      <c r="B17" s="14" t="s">
        <v>572</v>
      </c>
      <c r="C17" s="15" t="n">
        <v>10</v>
      </c>
      <c r="D17" s="5" t="n">
        <f aca="false">INDEX(Doi_chieu_nguoi!$F$2:$F$13,MATCH(A17,Doi_chieu_nguoi!$A$2:$A$13,0))</f>
        <v>1684090.90909091</v>
      </c>
      <c r="E17" s="6" t="n">
        <f aca="false">C17*D17</f>
        <v>16840909.0909091</v>
      </c>
      <c r="F17" s="14" t="s">
        <v>572</v>
      </c>
    </row>
    <row r="18" customFormat="false" ht="15" hidden="false" customHeight="false" outlineLevel="0" collapsed="false">
      <c r="A18" s="14" t="s">
        <v>475</v>
      </c>
      <c r="B18" s="14" t="s">
        <v>554</v>
      </c>
      <c r="C18" s="15" t="n">
        <v>6</v>
      </c>
      <c r="D18" s="5" t="n">
        <f aca="false">INDEX(Doi_chieu_nguoi!$F$2:$F$13,MATCH(A18,Doi_chieu_nguoi!$A$2:$A$13,0))</f>
        <v>1684090.90909091</v>
      </c>
      <c r="E18" s="6" t="n">
        <f aca="false">C18*D18</f>
        <v>10104545.4545455</v>
      </c>
      <c r="F18" s="14" t="s">
        <v>554</v>
      </c>
    </row>
    <row r="19" customFormat="false" ht="15" hidden="false" customHeight="false" outlineLevel="0" collapsed="false">
      <c r="A19" s="14" t="s">
        <v>477</v>
      </c>
      <c r="B19" s="14" t="s">
        <v>569</v>
      </c>
      <c r="C19" s="15" t="n">
        <v>10</v>
      </c>
      <c r="D19" s="5" t="n">
        <f aca="false">INDEX(Doi_chieu_nguoi!$F$2:$F$13,MATCH(A19,Doi_chieu_nguoi!$A$2:$A$13,0))</f>
        <v>1571818.18181818</v>
      </c>
      <c r="E19" s="6" t="n">
        <f aca="false">C19*D19</f>
        <v>15718181.8181818</v>
      </c>
      <c r="F19" s="14" t="s">
        <v>569</v>
      </c>
    </row>
    <row r="20" customFormat="false" ht="15" hidden="false" customHeight="false" outlineLevel="0" collapsed="false">
      <c r="A20" s="14" t="s">
        <v>477</v>
      </c>
      <c r="B20" s="14" t="s">
        <v>549</v>
      </c>
      <c r="C20" s="15" t="n">
        <v>10</v>
      </c>
      <c r="D20" s="5" t="n">
        <f aca="false">INDEX(Doi_chieu_nguoi!$F$2:$F$13,MATCH(A20,Doi_chieu_nguoi!$A$2:$A$13,0))</f>
        <v>1571818.18181818</v>
      </c>
      <c r="E20" s="6" t="n">
        <f aca="false">C20*D20</f>
        <v>15718181.8181818</v>
      </c>
      <c r="F20" s="14" t="s">
        <v>549</v>
      </c>
    </row>
    <row r="21" customFormat="false" ht="15" hidden="false" customHeight="false" outlineLevel="0" collapsed="false">
      <c r="A21" s="14" t="s">
        <v>477</v>
      </c>
      <c r="B21" s="14" t="s">
        <v>570</v>
      </c>
      <c r="C21" s="15" t="n">
        <v>13</v>
      </c>
      <c r="D21" s="5" t="n">
        <f aca="false">INDEX(Doi_chieu_nguoi!$F$2:$F$13,MATCH(A21,Doi_chieu_nguoi!$A$2:$A$13,0))</f>
        <v>1571818.18181818</v>
      </c>
      <c r="E21" s="6" t="n">
        <f aca="false">C21*D21</f>
        <v>20433636.3636364</v>
      </c>
      <c r="F21" s="14" t="s">
        <v>570</v>
      </c>
    </row>
    <row r="22" customFormat="false" ht="15" hidden="false" customHeight="false" outlineLevel="0" collapsed="false">
      <c r="A22" s="14" t="s">
        <v>477</v>
      </c>
      <c r="B22" s="14" t="s">
        <v>571</v>
      </c>
      <c r="C22" s="15" t="n">
        <v>10</v>
      </c>
      <c r="D22" s="5" t="n">
        <f aca="false">INDEX(Doi_chieu_nguoi!$F$2:$F$13,MATCH(A22,Doi_chieu_nguoi!$A$2:$A$13,0))</f>
        <v>1571818.18181818</v>
      </c>
      <c r="E22" s="6" t="n">
        <f aca="false">C22*D22</f>
        <v>15718181.8181818</v>
      </c>
      <c r="F22" s="14" t="s">
        <v>571</v>
      </c>
    </row>
    <row r="23" customFormat="false" ht="15" hidden="false" customHeight="false" outlineLevel="0" collapsed="false">
      <c r="A23" s="14" t="s">
        <v>477</v>
      </c>
      <c r="B23" s="14" t="s">
        <v>552</v>
      </c>
      <c r="C23" s="15" t="n">
        <v>10</v>
      </c>
      <c r="D23" s="5" t="n">
        <f aca="false">INDEX(Doi_chieu_nguoi!$F$2:$F$13,MATCH(A23,Doi_chieu_nguoi!$A$2:$A$13,0))</f>
        <v>1571818.18181818</v>
      </c>
      <c r="E23" s="6" t="n">
        <f aca="false">C23*D23</f>
        <v>15718181.8181818</v>
      </c>
      <c r="F23" s="14" t="s">
        <v>552</v>
      </c>
    </row>
    <row r="24" customFormat="false" ht="15" hidden="false" customHeight="false" outlineLevel="0" collapsed="false">
      <c r="A24" s="14" t="s">
        <v>477</v>
      </c>
      <c r="B24" s="14" t="s">
        <v>572</v>
      </c>
      <c r="C24" s="15" t="n">
        <v>10</v>
      </c>
      <c r="D24" s="5" t="n">
        <f aca="false">INDEX(Doi_chieu_nguoi!$F$2:$F$13,MATCH(A24,Doi_chieu_nguoi!$A$2:$A$13,0))</f>
        <v>1571818.18181818</v>
      </c>
      <c r="E24" s="6" t="n">
        <f aca="false">C24*D24</f>
        <v>15718181.8181818</v>
      </c>
      <c r="F24" s="14" t="s">
        <v>572</v>
      </c>
    </row>
    <row r="25" customFormat="false" ht="15" hidden="false" customHeight="false" outlineLevel="0" collapsed="false">
      <c r="A25" s="14" t="s">
        <v>477</v>
      </c>
      <c r="B25" s="14" t="s">
        <v>574</v>
      </c>
      <c r="C25" s="15" t="n">
        <v>3</v>
      </c>
      <c r="D25" s="5" t="n">
        <f aca="false">INDEX(Doi_chieu_nguoi!$F$2:$F$13,MATCH(A25,Doi_chieu_nguoi!$A$2:$A$13,0))</f>
        <v>1571818.18181818</v>
      </c>
      <c r="E25" s="6" t="n">
        <f aca="false">C25*D25</f>
        <v>4715454.54545455</v>
      </c>
      <c r="F25" s="14" t="s">
        <v>574</v>
      </c>
    </row>
    <row r="26" customFormat="false" ht="15" hidden="false" customHeight="false" outlineLevel="0" collapsed="false">
      <c r="A26" s="14" t="s">
        <v>477</v>
      </c>
      <c r="B26" s="14" t="s">
        <v>554</v>
      </c>
      <c r="C26" s="15" t="n">
        <v>5</v>
      </c>
      <c r="D26" s="5" t="n">
        <f aca="false">INDEX(Doi_chieu_nguoi!$F$2:$F$13,MATCH(A26,Doi_chieu_nguoi!$A$2:$A$13,0))</f>
        <v>1571818.18181818</v>
      </c>
      <c r="E26" s="6" t="n">
        <f aca="false">C26*D26</f>
        <v>7859090.90909091</v>
      </c>
      <c r="F26" s="14" t="s">
        <v>554</v>
      </c>
    </row>
    <row r="27" customFormat="false" ht="15" hidden="false" customHeight="false" outlineLevel="0" collapsed="false">
      <c r="A27" s="14" t="s">
        <v>479</v>
      </c>
      <c r="B27" s="14" t="s">
        <v>569</v>
      </c>
      <c r="C27" s="15" t="n">
        <v>10</v>
      </c>
      <c r="D27" s="5" t="n">
        <f aca="false">INDEX(Doi_chieu_nguoi!$F$2:$F$13,MATCH(A27,Doi_chieu_nguoi!$A$2:$A$13,0))</f>
        <v>1684090.90909091</v>
      </c>
      <c r="E27" s="6" t="n">
        <f aca="false">C27*D27</f>
        <v>16840909.0909091</v>
      </c>
      <c r="F27" s="14" t="s">
        <v>569</v>
      </c>
    </row>
    <row r="28" customFormat="false" ht="15" hidden="false" customHeight="false" outlineLevel="0" collapsed="false">
      <c r="A28" s="14" t="s">
        <v>479</v>
      </c>
      <c r="B28" s="14" t="s">
        <v>549</v>
      </c>
      <c r="C28" s="15" t="n">
        <v>10</v>
      </c>
      <c r="D28" s="5" t="n">
        <f aca="false">INDEX(Doi_chieu_nguoi!$F$2:$F$13,MATCH(A28,Doi_chieu_nguoi!$A$2:$A$13,0))</f>
        <v>1684090.90909091</v>
      </c>
      <c r="E28" s="6" t="n">
        <f aca="false">C28*D28</f>
        <v>16840909.0909091</v>
      </c>
      <c r="F28" s="14" t="s">
        <v>549</v>
      </c>
    </row>
    <row r="29" customFormat="false" ht="15" hidden="false" customHeight="false" outlineLevel="0" collapsed="false">
      <c r="A29" s="14" t="s">
        <v>479</v>
      </c>
      <c r="B29" s="14" t="s">
        <v>570</v>
      </c>
      <c r="C29" s="15" t="n">
        <v>13</v>
      </c>
      <c r="D29" s="5" t="n">
        <f aca="false">INDEX(Doi_chieu_nguoi!$F$2:$F$13,MATCH(A29,Doi_chieu_nguoi!$A$2:$A$13,0))</f>
        <v>1684090.90909091</v>
      </c>
      <c r="E29" s="6" t="n">
        <f aca="false">C29*D29</f>
        <v>21893181.8181818</v>
      </c>
      <c r="F29" s="14" t="s">
        <v>570</v>
      </c>
    </row>
    <row r="30" customFormat="false" ht="15" hidden="false" customHeight="false" outlineLevel="0" collapsed="false">
      <c r="A30" s="14" t="s">
        <v>479</v>
      </c>
      <c r="B30" s="14" t="s">
        <v>571</v>
      </c>
      <c r="C30" s="15" t="n">
        <v>10</v>
      </c>
      <c r="D30" s="5" t="n">
        <f aca="false">INDEX(Doi_chieu_nguoi!$F$2:$F$13,MATCH(A30,Doi_chieu_nguoi!$A$2:$A$13,0))</f>
        <v>1684090.90909091</v>
      </c>
      <c r="E30" s="6" t="n">
        <f aca="false">C30*D30</f>
        <v>16840909.0909091</v>
      </c>
      <c r="F30" s="14" t="s">
        <v>571</v>
      </c>
    </row>
    <row r="31" customFormat="false" ht="15" hidden="false" customHeight="false" outlineLevel="0" collapsed="false">
      <c r="A31" s="14" t="s">
        <v>479</v>
      </c>
      <c r="B31" s="14" t="s">
        <v>552</v>
      </c>
      <c r="C31" s="15" t="n">
        <v>10</v>
      </c>
      <c r="D31" s="5" t="n">
        <f aca="false">INDEX(Doi_chieu_nguoi!$F$2:$F$13,MATCH(A31,Doi_chieu_nguoi!$A$2:$A$13,0))</f>
        <v>1684090.90909091</v>
      </c>
      <c r="E31" s="6" t="n">
        <f aca="false">C31*D31</f>
        <v>16840909.0909091</v>
      </c>
      <c r="F31" s="14" t="s">
        <v>552</v>
      </c>
    </row>
    <row r="32" customFormat="false" ht="15" hidden="false" customHeight="false" outlineLevel="0" collapsed="false">
      <c r="A32" s="14" t="s">
        <v>479</v>
      </c>
      <c r="B32" s="14" t="s">
        <v>572</v>
      </c>
      <c r="C32" s="15" t="n">
        <v>10</v>
      </c>
      <c r="D32" s="5" t="n">
        <f aca="false">INDEX(Doi_chieu_nguoi!$F$2:$F$13,MATCH(A32,Doi_chieu_nguoi!$A$2:$A$13,0))</f>
        <v>1684090.90909091</v>
      </c>
      <c r="E32" s="6" t="n">
        <f aca="false">C32*D32</f>
        <v>16840909.0909091</v>
      </c>
      <c r="F32" s="14" t="s">
        <v>572</v>
      </c>
    </row>
    <row r="33" customFormat="false" ht="15" hidden="false" customHeight="false" outlineLevel="0" collapsed="false">
      <c r="A33" s="14" t="s">
        <v>479</v>
      </c>
      <c r="B33" s="14" t="s">
        <v>573</v>
      </c>
      <c r="C33" s="15" t="n">
        <v>3</v>
      </c>
      <c r="D33" s="5" t="n">
        <f aca="false">INDEX(Doi_chieu_nguoi!$F$2:$F$13,MATCH(A33,Doi_chieu_nguoi!$A$2:$A$13,0))</f>
        <v>1684090.90909091</v>
      </c>
      <c r="E33" s="6" t="n">
        <f aca="false">C33*D33</f>
        <v>5052272.72727273</v>
      </c>
      <c r="F33" s="14" t="s">
        <v>573</v>
      </c>
    </row>
    <row r="34" customFormat="false" ht="15" hidden="false" customHeight="false" outlineLevel="0" collapsed="false">
      <c r="A34" s="14" t="s">
        <v>479</v>
      </c>
      <c r="B34" s="14" t="s">
        <v>554</v>
      </c>
      <c r="C34" s="15" t="n">
        <v>10</v>
      </c>
      <c r="D34" s="5" t="n">
        <f aca="false">INDEX(Doi_chieu_nguoi!$F$2:$F$13,MATCH(A34,Doi_chieu_nguoi!$A$2:$A$13,0))</f>
        <v>1684090.90909091</v>
      </c>
      <c r="E34" s="6" t="n">
        <f aca="false">C34*D34</f>
        <v>16840909.0909091</v>
      </c>
      <c r="F34" s="14" t="s">
        <v>554</v>
      </c>
    </row>
    <row r="35" customFormat="false" ht="15" hidden="false" customHeight="false" outlineLevel="0" collapsed="false">
      <c r="A35" s="14" t="s">
        <v>481</v>
      </c>
      <c r="B35" s="14" t="s">
        <v>569</v>
      </c>
      <c r="C35" s="15" t="n">
        <v>10</v>
      </c>
      <c r="D35" s="5" t="n">
        <f aca="false">INDEX(Doi_chieu_nguoi!$F$2:$F$13,MATCH(A35,Doi_chieu_nguoi!$A$2:$A$13,0))</f>
        <v>1515681.81818182</v>
      </c>
      <c r="E35" s="6" t="n">
        <f aca="false">C35*D35</f>
        <v>15156818.1818182</v>
      </c>
      <c r="F35" s="14" t="s">
        <v>569</v>
      </c>
    </row>
    <row r="36" customFormat="false" ht="15" hidden="false" customHeight="false" outlineLevel="0" collapsed="false">
      <c r="A36" s="14" t="s">
        <v>481</v>
      </c>
      <c r="B36" s="14" t="s">
        <v>549</v>
      </c>
      <c r="C36" s="15" t="n">
        <v>10</v>
      </c>
      <c r="D36" s="5" t="n">
        <f aca="false">INDEX(Doi_chieu_nguoi!$F$2:$F$13,MATCH(A36,Doi_chieu_nguoi!$A$2:$A$13,0))</f>
        <v>1515681.81818182</v>
      </c>
      <c r="E36" s="6" t="n">
        <f aca="false">C36*D36</f>
        <v>15156818.1818182</v>
      </c>
      <c r="F36" s="14" t="s">
        <v>549</v>
      </c>
    </row>
    <row r="37" customFormat="false" ht="15" hidden="false" customHeight="false" outlineLevel="0" collapsed="false">
      <c r="A37" s="14" t="s">
        <v>481</v>
      </c>
      <c r="B37" s="14" t="s">
        <v>570</v>
      </c>
      <c r="C37" s="15" t="n">
        <v>13</v>
      </c>
      <c r="D37" s="5" t="n">
        <f aca="false">INDEX(Doi_chieu_nguoi!$F$2:$F$13,MATCH(A37,Doi_chieu_nguoi!$A$2:$A$13,0))</f>
        <v>1515681.81818182</v>
      </c>
      <c r="E37" s="6" t="n">
        <f aca="false">C37*D37</f>
        <v>19703863.6363636</v>
      </c>
      <c r="F37" s="14" t="s">
        <v>570</v>
      </c>
    </row>
    <row r="38" customFormat="false" ht="15" hidden="false" customHeight="false" outlineLevel="0" collapsed="false">
      <c r="A38" s="14" t="s">
        <v>481</v>
      </c>
      <c r="B38" s="14" t="s">
        <v>571</v>
      </c>
      <c r="C38" s="15" t="n">
        <v>10</v>
      </c>
      <c r="D38" s="5" t="n">
        <f aca="false">INDEX(Doi_chieu_nguoi!$F$2:$F$13,MATCH(A38,Doi_chieu_nguoi!$A$2:$A$13,0))</f>
        <v>1515681.81818182</v>
      </c>
      <c r="E38" s="6" t="n">
        <f aca="false">C38*D38</f>
        <v>15156818.1818182</v>
      </c>
      <c r="F38" s="14" t="s">
        <v>571</v>
      </c>
    </row>
    <row r="39" customFormat="false" ht="15" hidden="false" customHeight="false" outlineLevel="0" collapsed="false">
      <c r="A39" s="14" t="s">
        <v>481</v>
      </c>
      <c r="B39" s="14" t="s">
        <v>552</v>
      </c>
      <c r="C39" s="15" t="n">
        <v>10</v>
      </c>
      <c r="D39" s="5" t="n">
        <f aca="false">INDEX(Doi_chieu_nguoi!$F$2:$F$13,MATCH(A39,Doi_chieu_nguoi!$A$2:$A$13,0))</f>
        <v>1515681.81818182</v>
      </c>
      <c r="E39" s="6" t="n">
        <f aca="false">C39*D39</f>
        <v>15156818.1818182</v>
      </c>
      <c r="F39" s="14" t="s">
        <v>552</v>
      </c>
    </row>
    <row r="40" customFormat="false" ht="15" hidden="false" customHeight="false" outlineLevel="0" collapsed="false">
      <c r="A40" s="14" t="s">
        <v>481</v>
      </c>
      <c r="B40" s="14" t="s">
        <v>572</v>
      </c>
      <c r="C40" s="15" t="n">
        <v>10</v>
      </c>
      <c r="D40" s="5" t="n">
        <f aca="false">INDEX(Doi_chieu_nguoi!$F$2:$F$13,MATCH(A40,Doi_chieu_nguoi!$A$2:$A$13,0))</f>
        <v>1515681.81818182</v>
      </c>
      <c r="E40" s="6" t="n">
        <f aca="false">C40*D40</f>
        <v>15156818.1818182</v>
      </c>
      <c r="F40" s="14" t="s">
        <v>572</v>
      </c>
    </row>
    <row r="41" customFormat="false" ht="15" hidden="false" customHeight="false" outlineLevel="0" collapsed="false">
      <c r="A41" s="14" t="s">
        <v>481</v>
      </c>
      <c r="B41" s="14" t="s">
        <v>573</v>
      </c>
      <c r="C41" s="15" t="n">
        <v>8</v>
      </c>
      <c r="D41" s="5" t="n">
        <f aca="false">INDEX(Doi_chieu_nguoi!$F$2:$F$13,MATCH(A41,Doi_chieu_nguoi!$A$2:$A$13,0))</f>
        <v>1515681.81818182</v>
      </c>
      <c r="E41" s="6" t="n">
        <f aca="false">C41*D41</f>
        <v>12125454.5454545</v>
      </c>
      <c r="F41" s="14" t="s">
        <v>573</v>
      </c>
    </row>
    <row r="42" customFormat="false" ht="15" hidden="false" customHeight="false" outlineLevel="0" collapsed="false">
      <c r="A42" s="14" t="s">
        <v>481</v>
      </c>
      <c r="B42" s="14" t="s">
        <v>574</v>
      </c>
      <c r="C42" s="15" t="n">
        <v>5</v>
      </c>
      <c r="D42" s="5" t="n">
        <f aca="false">INDEX(Doi_chieu_nguoi!$F$2:$F$13,MATCH(A42,Doi_chieu_nguoi!$A$2:$A$13,0))</f>
        <v>1515681.81818182</v>
      </c>
      <c r="E42" s="6" t="n">
        <f aca="false">C42*D42</f>
        <v>7578409.09090909</v>
      </c>
      <c r="F42" s="14" t="s">
        <v>574</v>
      </c>
    </row>
    <row r="43" customFormat="false" ht="15" hidden="false" customHeight="false" outlineLevel="0" collapsed="false">
      <c r="A43" s="14" t="s">
        <v>481</v>
      </c>
      <c r="B43" s="14" t="s">
        <v>554</v>
      </c>
      <c r="C43" s="15" t="n">
        <v>7</v>
      </c>
      <c r="D43" s="5" t="n">
        <f aca="false">INDEX(Doi_chieu_nguoi!$F$2:$F$13,MATCH(A43,Doi_chieu_nguoi!$A$2:$A$13,0))</f>
        <v>1515681.81818182</v>
      </c>
      <c r="E43" s="6" t="n">
        <f aca="false">C43*D43</f>
        <v>10609772.7272727</v>
      </c>
      <c r="F43" s="14" t="s">
        <v>554</v>
      </c>
    </row>
    <row r="44" customFormat="false" ht="15" hidden="false" customHeight="false" outlineLevel="0" collapsed="false">
      <c r="A44" s="14" t="s">
        <v>483</v>
      </c>
      <c r="B44" s="14" t="s">
        <v>569</v>
      </c>
      <c r="C44" s="15" t="n">
        <v>10</v>
      </c>
      <c r="D44" s="5" t="n">
        <f aca="false">INDEX(Doi_chieu_nguoi!$F$2:$F$13,MATCH(A44,Doi_chieu_nguoi!$A$2:$A$13,0))</f>
        <v>2638409.09090909</v>
      </c>
      <c r="E44" s="6" t="n">
        <f aca="false">C44*D44</f>
        <v>26384090.9090909</v>
      </c>
      <c r="F44" s="14" t="s">
        <v>569</v>
      </c>
    </row>
    <row r="45" customFormat="false" ht="15" hidden="false" customHeight="false" outlineLevel="0" collapsed="false">
      <c r="A45" s="14" t="s">
        <v>483</v>
      </c>
      <c r="B45" s="14" t="s">
        <v>549</v>
      </c>
      <c r="C45" s="15" t="n">
        <v>10</v>
      </c>
      <c r="D45" s="5" t="n">
        <f aca="false">INDEX(Doi_chieu_nguoi!$F$2:$F$13,MATCH(A45,Doi_chieu_nguoi!$A$2:$A$13,0))</f>
        <v>2638409.09090909</v>
      </c>
      <c r="E45" s="6" t="n">
        <f aca="false">C45*D45</f>
        <v>26384090.9090909</v>
      </c>
      <c r="F45" s="14" t="s">
        <v>549</v>
      </c>
    </row>
    <row r="46" customFormat="false" ht="15" hidden="false" customHeight="false" outlineLevel="0" collapsed="false">
      <c r="A46" s="14" t="s">
        <v>483</v>
      </c>
      <c r="B46" s="14" t="s">
        <v>570</v>
      </c>
      <c r="C46" s="15" t="n">
        <v>13</v>
      </c>
      <c r="D46" s="5" t="n">
        <f aca="false">INDEX(Doi_chieu_nguoi!$F$2:$F$13,MATCH(A46,Doi_chieu_nguoi!$A$2:$A$13,0))</f>
        <v>2638409.09090909</v>
      </c>
      <c r="E46" s="6" t="n">
        <f aca="false">C46*D46</f>
        <v>34299318.1818182</v>
      </c>
      <c r="F46" s="14" t="s">
        <v>570</v>
      </c>
    </row>
    <row r="47" customFormat="false" ht="15" hidden="false" customHeight="false" outlineLevel="0" collapsed="false">
      <c r="A47" s="14" t="s">
        <v>483</v>
      </c>
      <c r="B47" s="14" t="s">
        <v>571</v>
      </c>
      <c r="C47" s="15" t="n">
        <v>10</v>
      </c>
      <c r="D47" s="5" t="n">
        <f aca="false">INDEX(Doi_chieu_nguoi!$F$2:$F$13,MATCH(A47,Doi_chieu_nguoi!$A$2:$A$13,0))</f>
        <v>2638409.09090909</v>
      </c>
      <c r="E47" s="6" t="n">
        <f aca="false">C47*D47</f>
        <v>26384090.9090909</v>
      </c>
      <c r="F47" s="14" t="s">
        <v>571</v>
      </c>
    </row>
    <row r="48" customFormat="false" ht="15" hidden="false" customHeight="false" outlineLevel="0" collapsed="false">
      <c r="A48" s="14" t="s">
        <v>483</v>
      </c>
      <c r="B48" s="14" t="s">
        <v>552</v>
      </c>
      <c r="C48" s="15" t="n">
        <v>10</v>
      </c>
      <c r="D48" s="5" t="n">
        <f aca="false">INDEX(Doi_chieu_nguoi!$F$2:$F$13,MATCH(A48,Doi_chieu_nguoi!$A$2:$A$13,0))</f>
        <v>2638409.09090909</v>
      </c>
      <c r="E48" s="6" t="n">
        <f aca="false">C48*D48</f>
        <v>26384090.9090909</v>
      </c>
      <c r="F48" s="14" t="s">
        <v>552</v>
      </c>
    </row>
    <row r="49" customFormat="false" ht="15" hidden="false" customHeight="false" outlineLevel="0" collapsed="false">
      <c r="A49" s="14" t="s">
        <v>483</v>
      </c>
      <c r="B49" s="14" t="s">
        <v>572</v>
      </c>
      <c r="C49" s="15" t="n">
        <v>10</v>
      </c>
      <c r="D49" s="5" t="n">
        <f aca="false">INDEX(Doi_chieu_nguoi!$F$2:$F$13,MATCH(A49,Doi_chieu_nguoi!$A$2:$A$13,0))</f>
        <v>2638409.09090909</v>
      </c>
      <c r="E49" s="6" t="n">
        <f aca="false">C49*D49</f>
        <v>26384090.9090909</v>
      </c>
      <c r="F49" s="14" t="s">
        <v>572</v>
      </c>
    </row>
    <row r="50" customFormat="false" ht="15" hidden="false" customHeight="false" outlineLevel="0" collapsed="false">
      <c r="A50" s="14" t="s">
        <v>483</v>
      </c>
      <c r="B50" s="14" t="s">
        <v>574</v>
      </c>
      <c r="C50" s="15" t="n">
        <v>9</v>
      </c>
      <c r="D50" s="5" t="n">
        <f aca="false">INDEX(Doi_chieu_nguoi!$F$2:$F$13,MATCH(A50,Doi_chieu_nguoi!$A$2:$A$13,0))</f>
        <v>2638409.09090909</v>
      </c>
      <c r="E50" s="6" t="n">
        <f aca="false">C50*D50</f>
        <v>23745681.8181818</v>
      </c>
      <c r="F50" s="14" t="s">
        <v>574</v>
      </c>
    </row>
    <row r="51" customFormat="false" ht="15" hidden="false" customHeight="false" outlineLevel="0" collapsed="false">
      <c r="A51" s="14" t="s">
        <v>483</v>
      </c>
      <c r="B51" s="14" t="s">
        <v>554</v>
      </c>
      <c r="C51" s="15" t="n">
        <v>8</v>
      </c>
      <c r="D51" s="5" t="n">
        <f aca="false">INDEX(Doi_chieu_nguoi!$F$2:$F$13,MATCH(A51,Doi_chieu_nguoi!$A$2:$A$13,0))</f>
        <v>2638409.09090909</v>
      </c>
      <c r="E51" s="6" t="n">
        <f aca="false">C51*D51</f>
        <v>21107272.7272727</v>
      </c>
      <c r="F51" s="14" t="s">
        <v>554</v>
      </c>
    </row>
    <row r="52" customFormat="false" ht="15" hidden="false" customHeight="false" outlineLevel="0" collapsed="false">
      <c r="A52" s="14" t="s">
        <v>486</v>
      </c>
      <c r="B52" s="14" t="s">
        <v>569</v>
      </c>
      <c r="C52" s="15" t="n">
        <v>10</v>
      </c>
      <c r="D52" s="5" t="n">
        <f aca="false">INDEX(Doi_chieu_nguoi!$F$2:$F$13,MATCH(A52,Doi_chieu_nguoi!$A$2:$A$13,0))</f>
        <v>1684090.90909091</v>
      </c>
      <c r="E52" s="6" t="n">
        <f aca="false">C52*D52</f>
        <v>16840909.0909091</v>
      </c>
      <c r="F52" s="14" t="s">
        <v>569</v>
      </c>
    </row>
    <row r="53" customFormat="false" ht="15" hidden="false" customHeight="false" outlineLevel="0" collapsed="false">
      <c r="A53" s="14" t="s">
        <v>486</v>
      </c>
      <c r="B53" s="14" t="s">
        <v>549</v>
      </c>
      <c r="C53" s="15" t="n">
        <v>10</v>
      </c>
      <c r="D53" s="5" t="n">
        <f aca="false">INDEX(Doi_chieu_nguoi!$F$2:$F$13,MATCH(A53,Doi_chieu_nguoi!$A$2:$A$13,0))</f>
        <v>1684090.90909091</v>
      </c>
      <c r="E53" s="6" t="n">
        <f aca="false">C53*D53</f>
        <v>16840909.0909091</v>
      </c>
      <c r="F53" s="14" t="s">
        <v>549</v>
      </c>
    </row>
    <row r="54" customFormat="false" ht="15" hidden="false" customHeight="false" outlineLevel="0" collapsed="false">
      <c r="A54" s="14" t="s">
        <v>486</v>
      </c>
      <c r="B54" s="14" t="s">
        <v>570</v>
      </c>
      <c r="C54" s="15" t="n">
        <v>13</v>
      </c>
      <c r="D54" s="5" t="n">
        <f aca="false">INDEX(Doi_chieu_nguoi!$F$2:$F$13,MATCH(A54,Doi_chieu_nguoi!$A$2:$A$13,0))</f>
        <v>1684090.90909091</v>
      </c>
      <c r="E54" s="6" t="n">
        <f aca="false">C54*D54</f>
        <v>21893181.8181818</v>
      </c>
      <c r="F54" s="14" t="s">
        <v>570</v>
      </c>
    </row>
    <row r="55" customFormat="false" ht="15" hidden="false" customHeight="false" outlineLevel="0" collapsed="false">
      <c r="A55" s="14" t="s">
        <v>486</v>
      </c>
      <c r="B55" s="14" t="s">
        <v>571</v>
      </c>
      <c r="C55" s="15" t="n">
        <v>10</v>
      </c>
      <c r="D55" s="5" t="n">
        <f aca="false">INDEX(Doi_chieu_nguoi!$F$2:$F$13,MATCH(A55,Doi_chieu_nguoi!$A$2:$A$13,0))</f>
        <v>1684090.90909091</v>
      </c>
      <c r="E55" s="6" t="n">
        <f aca="false">C55*D55</f>
        <v>16840909.0909091</v>
      </c>
      <c r="F55" s="14" t="s">
        <v>571</v>
      </c>
    </row>
    <row r="56" customFormat="false" ht="15" hidden="false" customHeight="false" outlineLevel="0" collapsed="false">
      <c r="A56" s="14" t="s">
        <v>486</v>
      </c>
      <c r="B56" s="14" t="s">
        <v>552</v>
      </c>
      <c r="C56" s="15" t="n">
        <v>10</v>
      </c>
      <c r="D56" s="5" t="n">
        <f aca="false">INDEX(Doi_chieu_nguoi!$F$2:$F$13,MATCH(A56,Doi_chieu_nguoi!$A$2:$A$13,0))</f>
        <v>1684090.90909091</v>
      </c>
      <c r="E56" s="6" t="n">
        <f aca="false">C56*D56</f>
        <v>16840909.0909091</v>
      </c>
      <c r="F56" s="14" t="s">
        <v>552</v>
      </c>
    </row>
    <row r="57" customFormat="false" ht="15" hidden="false" customHeight="false" outlineLevel="0" collapsed="false">
      <c r="A57" s="14" t="s">
        <v>486</v>
      </c>
      <c r="B57" s="14" t="s">
        <v>572</v>
      </c>
      <c r="C57" s="15" t="n">
        <v>10</v>
      </c>
      <c r="D57" s="5" t="n">
        <f aca="false">INDEX(Doi_chieu_nguoi!$F$2:$F$13,MATCH(A57,Doi_chieu_nguoi!$A$2:$A$13,0))</f>
        <v>1684090.90909091</v>
      </c>
      <c r="E57" s="6" t="n">
        <f aca="false">C57*D57</f>
        <v>16840909.0909091</v>
      </c>
      <c r="F57" s="14" t="s">
        <v>572</v>
      </c>
    </row>
    <row r="58" customFormat="false" ht="15" hidden="false" customHeight="false" outlineLevel="0" collapsed="false">
      <c r="A58" s="14" t="s">
        <v>486</v>
      </c>
      <c r="B58" s="14" t="s">
        <v>573</v>
      </c>
      <c r="C58" s="15" t="n">
        <v>10</v>
      </c>
      <c r="D58" s="5" t="n">
        <f aca="false">INDEX(Doi_chieu_nguoi!$F$2:$F$13,MATCH(A58,Doi_chieu_nguoi!$A$2:$A$13,0))</f>
        <v>1684090.90909091</v>
      </c>
      <c r="E58" s="6" t="n">
        <f aca="false">C58*D58</f>
        <v>16840909.0909091</v>
      </c>
      <c r="F58" s="14" t="s">
        <v>573</v>
      </c>
    </row>
    <row r="59" customFormat="false" ht="15" hidden="false" customHeight="false" outlineLevel="0" collapsed="false">
      <c r="A59" s="14" t="s">
        <v>486</v>
      </c>
      <c r="B59" s="14" t="s">
        <v>574</v>
      </c>
      <c r="C59" s="15" t="n">
        <v>3</v>
      </c>
      <c r="D59" s="5" t="n">
        <f aca="false">INDEX(Doi_chieu_nguoi!$F$2:$F$13,MATCH(A59,Doi_chieu_nguoi!$A$2:$A$13,0))</f>
        <v>1684090.90909091</v>
      </c>
      <c r="E59" s="6" t="n">
        <f aca="false">C59*D59</f>
        <v>5052272.72727273</v>
      </c>
      <c r="F59" s="14" t="s">
        <v>574</v>
      </c>
    </row>
    <row r="60" customFormat="false" ht="15" hidden="false" customHeight="false" outlineLevel="0" collapsed="false">
      <c r="A60" s="14" t="s">
        <v>486</v>
      </c>
      <c r="B60" s="14" t="s">
        <v>554</v>
      </c>
      <c r="C60" s="15" t="n">
        <v>9</v>
      </c>
      <c r="D60" s="5" t="n">
        <f aca="false">INDEX(Doi_chieu_nguoi!$F$2:$F$13,MATCH(A60,Doi_chieu_nguoi!$A$2:$A$13,0))</f>
        <v>1684090.90909091</v>
      </c>
      <c r="E60" s="6" t="n">
        <f aca="false">C60*D60</f>
        <v>15156818.1818182</v>
      </c>
      <c r="F60" s="14" t="s">
        <v>554</v>
      </c>
    </row>
    <row r="61" customFormat="false" ht="15" hidden="false" customHeight="false" outlineLevel="0" collapsed="false">
      <c r="A61" s="14" t="s">
        <v>488</v>
      </c>
      <c r="B61" s="14" t="s">
        <v>549</v>
      </c>
      <c r="C61" s="15" t="n">
        <v>10</v>
      </c>
      <c r="D61" s="5" t="n">
        <f aca="false">INDEX(Doi_chieu_nguoi!$F$2:$F$13,MATCH(A61,Doi_chieu_nguoi!$A$2:$A$13,0))</f>
        <v>1684090.90909091</v>
      </c>
      <c r="E61" s="6" t="n">
        <f aca="false">C61*D61</f>
        <v>16840909.0909091</v>
      </c>
      <c r="F61" s="14" t="s">
        <v>549</v>
      </c>
    </row>
    <row r="62" customFormat="false" ht="15" hidden="false" customHeight="false" outlineLevel="0" collapsed="false">
      <c r="A62" s="14" t="s">
        <v>488</v>
      </c>
      <c r="B62" s="14" t="s">
        <v>570</v>
      </c>
      <c r="C62" s="15" t="n">
        <v>13</v>
      </c>
      <c r="D62" s="5" t="n">
        <f aca="false">INDEX(Doi_chieu_nguoi!$F$2:$F$13,MATCH(A62,Doi_chieu_nguoi!$A$2:$A$13,0))</f>
        <v>1684090.90909091</v>
      </c>
      <c r="E62" s="6" t="n">
        <f aca="false">C62*D62</f>
        <v>21893181.8181818</v>
      </c>
      <c r="F62" s="14" t="s">
        <v>570</v>
      </c>
    </row>
    <row r="63" customFormat="false" ht="15" hidden="false" customHeight="false" outlineLevel="0" collapsed="false">
      <c r="A63" s="14" t="s">
        <v>488</v>
      </c>
      <c r="B63" s="14" t="s">
        <v>571</v>
      </c>
      <c r="C63" s="15" t="n">
        <v>10</v>
      </c>
      <c r="D63" s="5" t="n">
        <f aca="false">INDEX(Doi_chieu_nguoi!$F$2:$F$13,MATCH(A63,Doi_chieu_nguoi!$A$2:$A$13,0))</f>
        <v>1684090.90909091</v>
      </c>
      <c r="E63" s="6" t="n">
        <f aca="false">C63*D63</f>
        <v>16840909.0909091</v>
      </c>
      <c r="F63" s="14" t="s">
        <v>571</v>
      </c>
    </row>
    <row r="64" customFormat="false" ht="15" hidden="false" customHeight="false" outlineLevel="0" collapsed="false">
      <c r="A64" s="14" t="s">
        <v>488</v>
      </c>
      <c r="B64" s="14" t="s">
        <v>552</v>
      </c>
      <c r="C64" s="15" t="n">
        <v>10</v>
      </c>
      <c r="D64" s="5" t="n">
        <f aca="false">INDEX(Doi_chieu_nguoi!$F$2:$F$13,MATCH(A64,Doi_chieu_nguoi!$A$2:$A$13,0))</f>
        <v>1684090.90909091</v>
      </c>
      <c r="E64" s="6" t="n">
        <f aca="false">C64*D64</f>
        <v>16840909.0909091</v>
      </c>
      <c r="F64" s="14" t="s">
        <v>552</v>
      </c>
    </row>
    <row r="65" customFormat="false" ht="15" hidden="false" customHeight="false" outlineLevel="0" collapsed="false">
      <c r="A65" s="14" t="s">
        <v>488</v>
      </c>
      <c r="B65" s="14" t="s">
        <v>572</v>
      </c>
      <c r="C65" s="15" t="n">
        <v>10</v>
      </c>
      <c r="D65" s="5" t="n">
        <f aca="false">INDEX(Doi_chieu_nguoi!$F$2:$F$13,MATCH(A65,Doi_chieu_nguoi!$A$2:$A$13,0))</f>
        <v>1684090.90909091</v>
      </c>
      <c r="E65" s="6" t="n">
        <f aca="false">C65*D65</f>
        <v>16840909.0909091</v>
      </c>
      <c r="F65" s="14" t="s">
        <v>572</v>
      </c>
    </row>
    <row r="66" customFormat="false" ht="15" hidden="false" customHeight="false" outlineLevel="0" collapsed="false">
      <c r="A66" s="14" t="s">
        <v>488</v>
      </c>
      <c r="B66" s="14" t="s">
        <v>573</v>
      </c>
      <c r="C66" s="15" t="n">
        <v>10</v>
      </c>
      <c r="D66" s="5" t="n">
        <f aca="false">INDEX(Doi_chieu_nguoi!$F$2:$F$13,MATCH(A66,Doi_chieu_nguoi!$A$2:$A$13,0))</f>
        <v>1684090.90909091</v>
      </c>
      <c r="E66" s="6" t="n">
        <f aca="false">C66*D66</f>
        <v>16840909.0909091</v>
      </c>
      <c r="F66" s="14" t="s">
        <v>573</v>
      </c>
    </row>
    <row r="67" customFormat="false" ht="15" hidden="false" customHeight="false" outlineLevel="0" collapsed="false">
      <c r="A67" s="14" t="s">
        <v>488</v>
      </c>
      <c r="B67" s="14" t="s">
        <v>574</v>
      </c>
      <c r="C67" s="15" t="n">
        <v>4</v>
      </c>
      <c r="D67" s="5" t="n">
        <f aca="false">INDEX(Doi_chieu_nguoi!$F$2:$F$13,MATCH(A67,Doi_chieu_nguoi!$A$2:$A$13,0))</f>
        <v>1684090.90909091</v>
      </c>
      <c r="E67" s="6" t="n">
        <f aca="false">C67*D67</f>
        <v>6736363.63636364</v>
      </c>
      <c r="F67" s="14" t="s">
        <v>574</v>
      </c>
    </row>
    <row r="68" customFormat="false" ht="15" hidden="false" customHeight="false" outlineLevel="0" collapsed="false">
      <c r="A68" s="14" t="s">
        <v>488</v>
      </c>
      <c r="B68" s="14" t="s">
        <v>554</v>
      </c>
      <c r="C68" s="15" t="n">
        <v>10</v>
      </c>
      <c r="D68" s="5" t="n">
        <f aca="false">INDEX(Doi_chieu_nguoi!$F$2:$F$13,MATCH(A68,Doi_chieu_nguoi!$A$2:$A$13,0))</f>
        <v>1684090.90909091</v>
      </c>
      <c r="E68" s="6" t="n">
        <f aca="false">C68*D68</f>
        <v>16840909.0909091</v>
      </c>
      <c r="F68" s="14" t="s">
        <v>554</v>
      </c>
    </row>
    <row r="69" customFormat="false" ht="15" hidden="false" customHeight="false" outlineLevel="0" collapsed="false">
      <c r="A69" s="14" t="s">
        <v>490</v>
      </c>
      <c r="B69" s="14" t="s">
        <v>569</v>
      </c>
      <c r="C69" s="15" t="n">
        <v>10</v>
      </c>
      <c r="D69" s="5" t="n">
        <f aca="false">INDEX(Doi_chieu_nguoi!$F$2:$F$13,MATCH(A69,Doi_chieu_nguoi!$A$2:$A$13,0))</f>
        <v>1684090.90909091</v>
      </c>
      <c r="E69" s="6" t="n">
        <f aca="false">C69*D69</f>
        <v>16840909.0909091</v>
      </c>
      <c r="F69" s="14" t="s">
        <v>569</v>
      </c>
    </row>
    <row r="70" customFormat="false" ht="15" hidden="false" customHeight="false" outlineLevel="0" collapsed="false">
      <c r="A70" s="14" t="s">
        <v>490</v>
      </c>
      <c r="B70" s="14" t="s">
        <v>549</v>
      </c>
      <c r="C70" s="15" t="n">
        <v>10</v>
      </c>
      <c r="D70" s="5" t="n">
        <f aca="false">INDEX(Doi_chieu_nguoi!$F$2:$F$13,MATCH(A70,Doi_chieu_nguoi!$A$2:$A$13,0))</f>
        <v>1684090.90909091</v>
      </c>
      <c r="E70" s="6" t="n">
        <f aca="false">C70*D70</f>
        <v>16840909.0909091</v>
      </c>
      <c r="F70" s="14" t="s">
        <v>549</v>
      </c>
    </row>
    <row r="71" customFormat="false" ht="15" hidden="false" customHeight="false" outlineLevel="0" collapsed="false">
      <c r="A71" s="14" t="s">
        <v>490</v>
      </c>
      <c r="B71" s="14" t="s">
        <v>570</v>
      </c>
      <c r="C71" s="15" t="n">
        <v>13</v>
      </c>
      <c r="D71" s="5" t="n">
        <f aca="false">INDEX(Doi_chieu_nguoi!$F$2:$F$13,MATCH(A71,Doi_chieu_nguoi!$A$2:$A$13,0))</f>
        <v>1684090.90909091</v>
      </c>
      <c r="E71" s="6" t="n">
        <f aca="false">C71*D71</f>
        <v>21893181.8181818</v>
      </c>
      <c r="F71" s="14" t="s">
        <v>570</v>
      </c>
    </row>
    <row r="72" customFormat="false" ht="15" hidden="false" customHeight="false" outlineLevel="0" collapsed="false">
      <c r="A72" s="14" t="s">
        <v>490</v>
      </c>
      <c r="B72" s="14" t="s">
        <v>571</v>
      </c>
      <c r="C72" s="15" t="n">
        <v>10</v>
      </c>
      <c r="D72" s="5" t="n">
        <f aca="false">INDEX(Doi_chieu_nguoi!$F$2:$F$13,MATCH(A72,Doi_chieu_nguoi!$A$2:$A$13,0))</f>
        <v>1684090.90909091</v>
      </c>
      <c r="E72" s="6" t="n">
        <f aca="false">C72*D72</f>
        <v>16840909.0909091</v>
      </c>
      <c r="F72" s="14" t="s">
        <v>571</v>
      </c>
    </row>
    <row r="73" customFormat="false" ht="15" hidden="false" customHeight="false" outlineLevel="0" collapsed="false">
      <c r="A73" s="14" t="s">
        <v>490</v>
      </c>
      <c r="B73" s="14" t="s">
        <v>552</v>
      </c>
      <c r="C73" s="15" t="n">
        <v>10</v>
      </c>
      <c r="D73" s="5" t="n">
        <f aca="false">INDEX(Doi_chieu_nguoi!$F$2:$F$13,MATCH(A73,Doi_chieu_nguoi!$A$2:$A$13,0))</f>
        <v>1684090.90909091</v>
      </c>
      <c r="E73" s="6" t="n">
        <f aca="false">C73*D73</f>
        <v>16840909.0909091</v>
      </c>
      <c r="F73" s="14" t="s">
        <v>552</v>
      </c>
    </row>
    <row r="74" customFormat="false" ht="15" hidden="false" customHeight="false" outlineLevel="0" collapsed="false">
      <c r="A74" s="14" t="s">
        <v>490</v>
      </c>
      <c r="B74" s="14" t="s">
        <v>572</v>
      </c>
      <c r="C74" s="15" t="n">
        <v>10</v>
      </c>
      <c r="D74" s="5" t="n">
        <f aca="false">INDEX(Doi_chieu_nguoi!$F$2:$F$13,MATCH(A74,Doi_chieu_nguoi!$A$2:$A$13,0))</f>
        <v>1684090.90909091</v>
      </c>
      <c r="E74" s="6" t="n">
        <f aca="false">C74*D74</f>
        <v>16840909.0909091</v>
      </c>
      <c r="F74" s="14" t="s">
        <v>572</v>
      </c>
    </row>
    <row r="75" customFormat="false" ht="15" hidden="false" customHeight="false" outlineLevel="0" collapsed="false">
      <c r="A75" s="14" t="s">
        <v>490</v>
      </c>
      <c r="B75" s="14" t="s">
        <v>573</v>
      </c>
      <c r="C75" s="15" t="n">
        <v>10</v>
      </c>
      <c r="D75" s="5" t="n">
        <f aca="false">INDEX(Doi_chieu_nguoi!$F$2:$F$13,MATCH(A75,Doi_chieu_nguoi!$A$2:$A$13,0))</f>
        <v>1684090.90909091</v>
      </c>
      <c r="E75" s="6" t="n">
        <f aca="false">C75*D75</f>
        <v>16840909.0909091</v>
      </c>
      <c r="F75" s="14" t="s">
        <v>573</v>
      </c>
    </row>
    <row r="76" customFormat="false" ht="15" hidden="false" customHeight="false" outlineLevel="0" collapsed="false">
      <c r="A76" s="14" t="s">
        <v>490</v>
      </c>
      <c r="B76" s="14" t="s">
        <v>574</v>
      </c>
      <c r="C76" s="15" t="n">
        <v>8</v>
      </c>
      <c r="D76" s="5" t="n">
        <f aca="false">INDEX(Doi_chieu_nguoi!$F$2:$F$13,MATCH(A76,Doi_chieu_nguoi!$A$2:$A$13,0))</f>
        <v>1684090.90909091</v>
      </c>
      <c r="E76" s="6" t="n">
        <f aca="false">C76*D76</f>
        <v>13472727.2727273</v>
      </c>
      <c r="F76" s="14" t="s">
        <v>574</v>
      </c>
    </row>
    <row r="77" customFormat="false" ht="15" hidden="false" customHeight="false" outlineLevel="0" collapsed="false">
      <c r="A77" s="14" t="s">
        <v>490</v>
      </c>
      <c r="B77" s="14" t="s">
        <v>554</v>
      </c>
      <c r="C77" s="15" t="n">
        <v>5</v>
      </c>
      <c r="D77" s="5" t="n">
        <f aca="false">INDEX(Doi_chieu_nguoi!$F$2:$F$13,MATCH(A77,Doi_chieu_nguoi!$A$2:$A$13,0))</f>
        <v>1684090.90909091</v>
      </c>
      <c r="E77" s="6" t="n">
        <f aca="false">C77*D77</f>
        <v>8420454.54545455</v>
      </c>
      <c r="F77" s="14" t="s">
        <v>554</v>
      </c>
    </row>
    <row r="78" customFormat="false" ht="15" hidden="false" customHeight="false" outlineLevel="0" collapsed="false">
      <c r="A78" s="14" t="s">
        <v>492</v>
      </c>
      <c r="B78" s="14" t="s">
        <v>549</v>
      </c>
      <c r="C78" s="15" t="n">
        <v>10</v>
      </c>
      <c r="D78" s="5" t="n">
        <f aca="false">INDEX(Doi_chieu_nguoi!$F$2:$F$13,MATCH(A78,Doi_chieu_nguoi!$A$2:$A$13,0))</f>
        <v>1347272.72727273</v>
      </c>
      <c r="E78" s="6" t="n">
        <f aca="false">C78*D78</f>
        <v>13472727.2727273</v>
      </c>
      <c r="F78" s="14" t="s">
        <v>549</v>
      </c>
    </row>
    <row r="79" customFormat="false" ht="15" hidden="false" customHeight="false" outlineLevel="0" collapsed="false">
      <c r="A79" s="14" t="s">
        <v>492</v>
      </c>
      <c r="B79" s="14" t="s">
        <v>570</v>
      </c>
      <c r="C79" s="15" t="n">
        <v>13</v>
      </c>
      <c r="D79" s="5" t="n">
        <f aca="false">INDEX(Doi_chieu_nguoi!$F$2:$F$13,MATCH(A79,Doi_chieu_nguoi!$A$2:$A$13,0))</f>
        <v>1347272.72727273</v>
      </c>
      <c r="E79" s="6" t="n">
        <f aca="false">C79*D79</f>
        <v>17514545.4545455</v>
      </c>
      <c r="F79" s="14" t="s">
        <v>570</v>
      </c>
    </row>
    <row r="80" customFormat="false" ht="15" hidden="false" customHeight="false" outlineLevel="0" collapsed="false">
      <c r="A80" s="14" t="s">
        <v>492</v>
      </c>
      <c r="B80" s="14" t="s">
        <v>571</v>
      </c>
      <c r="C80" s="15" t="n">
        <v>10</v>
      </c>
      <c r="D80" s="5" t="n">
        <f aca="false">INDEX(Doi_chieu_nguoi!$F$2:$F$13,MATCH(A80,Doi_chieu_nguoi!$A$2:$A$13,0))</f>
        <v>1347272.72727273</v>
      </c>
      <c r="E80" s="6" t="n">
        <f aca="false">C80*D80</f>
        <v>13472727.2727273</v>
      </c>
      <c r="F80" s="14" t="s">
        <v>571</v>
      </c>
    </row>
    <row r="81" customFormat="false" ht="15" hidden="false" customHeight="false" outlineLevel="0" collapsed="false">
      <c r="A81" s="14" t="s">
        <v>492</v>
      </c>
      <c r="B81" s="14" t="s">
        <v>552</v>
      </c>
      <c r="C81" s="15" t="n">
        <v>10</v>
      </c>
      <c r="D81" s="5" t="n">
        <f aca="false">INDEX(Doi_chieu_nguoi!$F$2:$F$13,MATCH(A81,Doi_chieu_nguoi!$A$2:$A$13,0))</f>
        <v>1347272.72727273</v>
      </c>
      <c r="E81" s="6" t="n">
        <f aca="false">C81*D81</f>
        <v>13472727.2727273</v>
      </c>
      <c r="F81" s="14" t="s">
        <v>552</v>
      </c>
    </row>
    <row r="82" customFormat="false" ht="15" hidden="false" customHeight="false" outlineLevel="0" collapsed="false">
      <c r="A82" s="14" t="s">
        <v>492</v>
      </c>
      <c r="B82" s="14" t="s">
        <v>572</v>
      </c>
      <c r="C82" s="15" t="n">
        <v>10</v>
      </c>
      <c r="D82" s="5" t="n">
        <f aca="false">INDEX(Doi_chieu_nguoi!$F$2:$F$13,MATCH(A82,Doi_chieu_nguoi!$A$2:$A$13,0))</f>
        <v>1347272.72727273</v>
      </c>
      <c r="E82" s="6" t="n">
        <f aca="false">C82*D82</f>
        <v>13472727.2727273</v>
      </c>
      <c r="F82" s="14" t="s">
        <v>572</v>
      </c>
    </row>
    <row r="83" customFormat="false" ht="15" hidden="false" customHeight="false" outlineLevel="0" collapsed="false">
      <c r="A83" s="14" t="s">
        <v>492</v>
      </c>
      <c r="B83" s="14" t="s">
        <v>573</v>
      </c>
      <c r="C83" s="15" t="n">
        <v>8</v>
      </c>
      <c r="D83" s="5" t="n">
        <f aca="false">INDEX(Doi_chieu_nguoi!$F$2:$F$13,MATCH(A83,Doi_chieu_nguoi!$A$2:$A$13,0))</f>
        <v>1347272.72727273</v>
      </c>
      <c r="E83" s="6" t="n">
        <f aca="false">C83*D83</f>
        <v>10778181.8181818</v>
      </c>
      <c r="F83" s="14" t="s">
        <v>573</v>
      </c>
    </row>
    <row r="84" customFormat="false" ht="15" hidden="false" customHeight="false" outlineLevel="0" collapsed="false">
      <c r="A84" s="14" t="s">
        <v>492</v>
      </c>
      <c r="B84" s="14" t="s">
        <v>574</v>
      </c>
      <c r="C84" s="15" t="n">
        <v>2</v>
      </c>
      <c r="D84" s="5" t="n">
        <f aca="false">INDEX(Doi_chieu_nguoi!$F$2:$F$13,MATCH(A84,Doi_chieu_nguoi!$A$2:$A$13,0))</f>
        <v>1347272.72727273</v>
      </c>
      <c r="E84" s="6" t="n">
        <f aca="false">C84*D84</f>
        <v>2694545.45454546</v>
      </c>
      <c r="F84" s="14" t="s">
        <v>574</v>
      </c>
    </row>
    <row r="85" customFormat="false" ht="15" hidden="false" customHeight="false" outlineLevel="0" collapsed="false">
      <c r="A85" s="14" t="s">
        <v>492</v>
      </c>
      <c r="B85" s="14" t="s">
        <v>554</v>
      </c>
      <c r="C85" s="15" t="n">
        <v>7</v>
      </c>
      <c r="D85" s="5" t="n">
        <f aca="false">INDEX(Doi_chieu_nguoi!$F$2:$F$13,MATCH(A85,Doi_chieu_nguoi!$A$2:$A$13,0))</f>
        <v>1347272.72727273</v>
      </c>
      <c r="E85" s="6" t="n">
        <f aca="false">C85*D85</f>
        <v>9430909.09090909</v>
      </c>
      <c r="F85" s="14" t="s">
        <v>554</v>
      </c>
    </row>
    <row r="86" customFormat="false" ht="15" hidden="false" customHeight="false" outlineLevel="0" collapsed="false">
      <c r="A86" s="14" t="s">
        <v>494</v>
      </c>
      <c r="B86" s="14" t="s">
        <v>570</v>
      </c>
      <c r="C86" s="15" t="n">
        <v>13</v>
      </c>
      <c r="D86" s="5" t="n">
        <f aca="false">INDEX(Doi_chieu_nguoi!$F$2:$F$13,MATCH(A86,Doi_chieu_nguoi!$A$2:$A$13,0))</f>
        <v>1347272.72727273</v>
      </c>
      <c r="E86" s="6" t="n">
        <f aca="false">C86*D86</f>
        <v>17514545.4545455</v>
      </c>
      <c r="F86" s="14" t="s">
        <v>570</v>
      </c>
    </row>
    <row r="87" customFormat="false" ht="15" hidden="false" customHeight="false" outlineLevel="0" collapsed="false">
      <c r="A87" s="14" t="s">
        <v>494</v>
      </c>
      <c r="B87" s="14" t="s">
        <v>571</v>
      </c>
      <c r="C87" s="15" t="n">
        <v>10</v>
      </c>
      <c r="D87" s="5" t="n">
        <f aca="false">INDEX(Doi_chieu_nguoi!$F$2:$F$13,MATCH(A87,Doi_chieu_nguoi!$A$2:$A$13,0))</f>
        <v>1347272.72727273</v>
      </c>
      <c r="E87" s="6" t="n">
        <f aca="false">C87*D87</f>
        <v>13472727.2727273</v>
      </c>
      <c r="F87" s="14" t="s">
        <v>571</v>
      </c>
    </row>
    <row r="88" customFormat="false" ht="15" hidden="false" customHeight="false" outlineLevel="0" collapsed="false">
      <c r="A88" s="14" t="s">
        <v>494</v>
      </c>
      <c r="B88" s="14" t="s">
        <v>552</v>
      </c>
      <c r="C88" s="15" t="n">
        <v>10</v>
      </c>
      <c r="D88" s="5" t="n">
        <f aca="false">INDEX(Doi_chieu_nguoi!$F$2:$F$13,MATCH(A88,Doi_chieu_nguoi!$A$2:$A$13,0))</f>
        <v>1347272.72727273</v>
      </c>
      <c r="E88" s="6" t="n">
        <f aca="false">C88*D88</f>
        <v>13472727.2727273</v>
      </c>
      <c r="F88" s="14" t="s">
        <v>552</v>
      </c>
    </row>
    <row r="89" customFormat="false" ht="15" hidden="false" customHeight="false" outlineLevel="0" collapsed="false">
      <c r="A89" s="14" t="s">
        <v>494</v>
      </c>
      <c r="B89" s="14" t="s">
        <v>572</v>
      </c>
      <c r="C89" s="15" t="n">
        <v>10</v>
      </c>
      <c r="D89" s="5" t="n">
        <f aca="false">INDEX(Doi_chieu_nguoi!$F$2:$F$13,MATCH(A89,Doi_chieu_nguoi!$A$2:$A$13,0))</f>
        <v>1347272.72727273</v>
      </c>
      <c r="E89" s="6" t="n">
        <f aca="false">C89*D89</f>
        <v>13472727.2727273</v>
      </c>
      <c r="F89" s="14" t="s">
        <v>572</v>
      </c>
    </row>
    <row r="90" customFormat="false" ht="15" hidden="false" customHeight="false" outlineLevel="0" collapsed="false">
      <c r="A90" s="14" t="s">
        <v>494</v>
      </c>
      <c r="B90" s="14" t="s">
        <v>573</v>
      </c>
      <c r="C90" s="15" t="n">
        <v>9</v>
      </c>
      <c r="D90" s="5" t="n">
        <f aca="false">INDEX(Doi_chieu_nguoi!$F$2:$F$13,MATCH(A90,Doi_chieu_nguoi!$A$2:$A$13,0))</f>
        <v>1347272.72727273</v>
      </c>
      <c r="E90" s="6" t="n">
        <f aca="false">C90*D90</f>
        <v>12125454.5454545</v>
      </c>
      <c r="F90" s="14" t="s">
        <v>573</v>
      </c>
    </row>
    <row r="91" customFormat="false" ht="15" hidden="false" customHeight="false" outlineLevel="0" collapsed="false">
      <c r="A91" s="14" t="s">
        <v>494</v>
      </c>
      <c r="B91" s="14" t="s">
        <v>574</v>
      </c>
      <c r="C91" s="15" t="n">
        <v>2</v>
      </c>
      <c r="D91" s="5" t="n">
        <f aca="false">INDEX(Doi_chieu_nguoi!$F$2:$F$13,MATCH(A91,Doi_chieu_nguoi!$A$2:$A$13,0))</f>
        <v>1347272.72727273</v>
      </c>
      <c r="E91" s="6" t="n">
        <f aca="false">C91*D91</f>
        <v>2694545.45454546</v>
      </c>
      <c r="F91" s="14" t="s">
        <v>574</v>
      </c>
    </row>
    <row r="92" customFormat="false" ht="15" hidden="false" customHeight="false" outlineLevel="0" collapsed="false">
      <c r="A92" s="14" t="s">
        <v>494</v>
      </c>
      <c r="B92" s="14" t="s">
        <v>554</v>
      </c>
      <c r="C92" s="15" t="n">
        <v>9</v>
      </c>
      <c r="D92" s="5" t="n">
        <f aca="false">INDEX(Doi_chieu_nguoi!$F$2:$F$13,MATCH(A92,Doi_chieu_nguoi!$A$2:$A$13,0))</f>
        <v>1347272.72727273</v>
      </c>
      <c r="E92" s="6" t="n">
        <f aca="false">C92*D92</f>
        <v>12125454.5454545</v>
      </c>
      <c r="F92" s="14" t="s">
        <v>554</v>
      </c>
    </row>
    <row r="93" customFormat="false" ht="15" hidden="false" customHeight="false" outlineLevel="0" collapsed="false">
      <c r="A93" s="14" t="s">
        <v>496</v>
      </c>
      <c r="B93" s="14" t="s">
        <v>570</v>
      </c>
      <c r="C93" s="15" t="n">
        <v>13</v>
      </c>
      <c r="D93" s="5" t="n">
        <f aca="false">INDEX(Doi_chieu_nguoi!$F$2:$F$13,MATCH(A93,Doi_chieu_nguoi!$A$2:$A$13,0))</f>
        <v>1684090.90909091</v>
      </c>
      <c r="E93" s="6" t="n">
        <f aca="false">C93*D93</f>
        <v>21893181.8181818</v>
      </c>
      <c r="F93" s="14" t="s">
        <v>570</v>
      </c>
    </row>
    <row r="94" customFormat="false" ht="15" hidden="false" customHeight="false" outlineLevel="0" collapsed="false">
      <c r="A94" s="14" t="s">
        <v>496</v>
      </c>
      <c r="B94" s="14" t="s">
        <v>571</v>
      </c>
      <c r="C94" s="15" t="n">
        <v>10</v>
      </c>
      <c r="D94" s="5" t="n">
        <f aca="false">INDEX(Doi_chieu_nguoi!$F$2:$F$13,MATCH(A94,Doi_chieu_nguoi!$A$2:$A$13,0))</f>
        <v>1684090.90909091</v>
      </c>
      <c r="E94" s="6" t="n">
        <f aca="false">C94*D94</f>
        <v>16840909.0909091</v>
      </c>
      <c r="F94" s="14" t="s">
        <v>571</v>
      </c>
    </row>
    <row r="95" customFormat="false" ht="15" hidden="false" customHeight="false" outlineLevel="0" collapsed="false">
      <c r="A95" s="14" t="s">
        <v>496</v>
      </c>
      <c r="B95" s="14" t="s">
        <v>552</v>
      </c>
      <c r="C95" s="15" t="n">
        <v>10</v>
      </c>
      <c r="D95" s="5" t="n">
        <f aca="false">INDEX(Doi_chieu_nguoi!$F$2:$F$13,MATCH(A95,Doi_chieu_nguoi!$A$2:$A$13,0))</f>
        <v>1684090.90909091</v>
      </c>
      <c r="E95" s="6" t="n">
        <f aca="false">C95*D95</f>
        <v>16840909.0909091</v>
      </c>
      <c r="F95" s="14" t="s">
        <v>552</v>
      </c>
    </row>
    <row r="96" customFormat="false" ht="15" hidden="false" customHeight="false" outlineLevel="0" collapsed="false">
      <c r="A96" s="14" t="s">
        <v>496</v>
      </c>
      <c r="B96" s="14" t="s">
        <v>572</v>
      </c>
      <c r="C96" s="15" t="n">
        <v>10</v>
      </c>
      <c r="D96" s="5" t="n">
        <f aca="false">INDEX(Doi_chieu_nguoi!$F$2:$F$13,MATCH(A96,Doi_chieu_nguoi!$A$2:$A$13,0))</f>
        <v>1684090.90909091</v>
      </c>
      <c r="E96" s="6" t="n">
        <f aca="false">C96*D96</f>
        <v>16840909.0909091</v>
      </c>
      <c r="F96" s="14" t="s">
        <v>572</v>
      </c>
    </row>
    <row r="97" customFormat="false" ht="15" hidden="false" customHeight="false" outlineLevel="0" collapsed="false">
      <c r="A97" s="14" t="s">
        <v>496</v>
      </c>
      <c r="B97" s="14" t="s">
        <v>573</v>
      </c>
      <c r="C97" s="15" t="n">
        <v>4</v>
      </c>
      <c r="D97" s="5" t="n">
        <f aca="false">INDEX(Doi_chieu_nguoi!$F$2:$F$13,MATCH(A97,Doi_chieu_nguoi!$A$2:$A$13,0))</f>
        <v>1684090.90909091</v>
      </c>
      <c r="E97" s="6" t="n">
        <f aca="false">C97*D97</f>
        <v>6736363.63636364</v>
      </c>
      <c r="F97" s="14" t="s">
        <v>573</v>
      </c>
    </row>
    <row r="98" customFormat="false" ht="15" hidden="false" customHeight="false" outlineLevel="0" collapsed="false">
      <c r="A98" s="14" t="s">
        <v>496</v>
      </c>
      <c r="B98" s="14" t="s">
        <v>574</v>
      </c>
      <c r="C98" s="15" t="n">
        <v>9</v>
      </c>
      <c r="D98" s="5" t="n">
        <f aca="false">INDEX(Doi_chieu_nguoi!$F$2:$F$13,MATCH(A98,Doi_chieu_nguoi!$A$2:$A$13,0))</f>
        <v>1684090.90909091</v>
      </c>
      <c r="E98" s="6" t="n">
        <f aca="false">C98*D98</f>
        <v>15156818.1818182</v>
      </c>
      <c r="F98" s="14" t="s">
        <v>574</v>
      </c>
    </row>
    <row r="99" customFormat="false" ht="15" hidden="false" customHeight="false" outlineLevel="0" collapsed="false">
      <c r="A99" s="14" t="s">
        <v>496</v>
      </c>
      <c r="B99" s="14" t="s">
        <v>554</v>
      </c>
      <c r="C99" s="15" t="n">
        <v>6</v>
      </c>
      <c r="D99" s="5" t="n">
        <f aca="false">INDEX(Doi_chieu_nguoi!$F$2:$F$13,MATCH(A99,Doi_chieu_nguoi!$A$2:$A$13,0))</f>
        <v>1684090.90909091</v>
      </c>
      <c r="E99" s="6" t="n">
        <f aca="false">C99*D99</f>
        <v>10104545.4545455</v>
      </c>
      <c r="F99" s="14" t="s">
        <v>554</v>
      </c>
    </row>
    <row r="101" customFormat="false" ht="15" hidden="false" customHeight="false" outlineLevel="0" collapsed="false">
      <c r="A101" s="8"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15625" defaultRowHeight="15" customHeight="false"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s>
  <sheetData>
    <row r="1" customFormat="false" ht="25" hidden="false" customHeight="false" outlineLevel="0" collapsed="false">
      <c r="A1" s="3" t="s">
        <v>576</v>
      </c>
      <c r="B1" s="3" t="s">
        <v>561</v>
      </c>
      <c r="C1" s="3" t="s">
        <v>582</v>
      </c>
      <c r="D1" s="3" t="s">
        <v>577</v>
      </c>
      <c r="E1" s="3" t="s">
        <v>578</v>
      </c>
      <c r="F1" s="3" t="s">
        <v>579</v>
      </c>
    </row>
    <row r="2" customFormat="false" ht="15" hidden="false" customHeight="false" outlineLevel="0" collapsed="false">
      <c r="A2" s="14" t="s">
        <v>472</v>
      </c>
      <c r="B2" s="14" t="s">
        <v>569</v>
      </c>
      <c r="C2" s="15" t="n">
        <v>8.76</v>
      </c>
      <c r="D2" s="5" t="n">
        <f aca="false">INDEX(Doi_chieu_nguoi!$F$2:$F$13,MATCH(A2,Doi_chieu_nguoi!$A$2:$A$13,0))</f>
        <v>2862954.54545455</v>
      </c>
      <c r="E2" s="6" t="n">
        <f aca="false">C2*D2</f>
        <v>25079481.8181818</v>
      </c>
      <c r="F2" s="14" t="s">
        <v>569</v>
      </c>
    </row>
    <row r="3" customFormat="false" ht="15" hidden="false" customHeight="false" outlineLevel="0" collapsed="false">
      <c r="A3" s="14" t="s">
        <v>472</v>
      </c>
      <c r="B3" s="14" t="s">
        <v>549</v>
      </c>
      <c r="C3" s="15" t="n">
        <v>8.79</v>
      </c>
      <c r="D3" s="5" t="n">
        <f aca="false">INDEX(Doi_chieu_nguoi!$F$2:$F$13,MATCH(A3,Doi_chieu_nguoi!$A$2:$A$13,0))</f>
        <v>2862954.54545455</v>
      </c>
      <c r="E3" s="6" t="n">
        <f aca="false">C3*D3</f>
        <v>25165370.4545455</v>
      </c>
      <c r="F3" s="14" t="s">
        <v>549</v>
      </c>
    </row>
    <row r="4" customFormat="false" ht="15" hidden="false" customHeight="false" outlineLevel="0" collapsed="false">
      <c r="A4" s="14" t="s">
        <v>472</v>
      </c>
      <c r="B4" s="14" t="s">
        <v>570</v>
      </c>
      <c r="C4" s="15" t="n">
        <v>11.74</v>
      </c>
      <c r="D4" s="5" t="n">
        <f aca="false">INDEX(Doi_chieu_nguoi!$F$2:$F$13,MATCH(A4,Doi_chieu_nguoi!$A$2:$A$13,0))</f>
        <v>2862954.54545455</v>
      </c>
      <c r="E4" s="6" t="n">
        <f aca="false">C4*D4</f>
        <v>33611086.3636364</v>
      </c>
      <c r="F4" s="14" t="s">
        <v>570</v>
      </c>
    </row>
    <row r="5" customFormat="false" ht="15" hidden="false" customHeight="false" outlineLevel="0" collapsed="false">
      <c r="A5" s="14" t="s">
        <v>472</v>
      </c>
      <c r="B5" s="14" t="s">
        <v>571</v>
      </c>
      <c r="C5" s="15" t="n">
        <v>8.93</v>
      </c>
      <c r="D5" s="5" t="n">
        <f aca="false">INDEX(Doi_chieu_nguoi!$F$2:$F$13,MATCH(A5,Doi_chieu_nguoi!$A$2:$A$13,0))</f>
        <v>2862954.54545455</v>
      </c>
      <c r="E5" s="6" t="n">
        <f aca="false">C5*D5</f>
        <v>25566184.0909091</v>
      </c>
      <c r="F5" s="14" t="s">
        <v>571</v>
      </c>
    </row>
    <row r="6" customFormat="false" ht="15" hidden="false" customHeight="false" outlineLevel="0" collapsed="false">
      <c r="A6" s="14" t="s">
        <v>472</v>
      </c>
      <c r="B6" s="14" t="s">
        <v>552</v>
      </c>
      <c r="C6" s="15" t="n">
        <v>5.02</v>
      </c>
      <c r="D6" s="5" t="n">
        <f aca="false">INDEX(Doi_chieu_nguoi!$F$2:$F$13,MATCH(A6,Doi_chieu_nguoi!$A$2:$A$13,0))</f>
        <v>2862954.54545455</v>
      </c>
      <c r="E6" s="6" t="n">
        <f aca="false">C6*D6</f>
        <v>14372031.8181818</v>
      </c>
      <c r="F6" s="14" t="s">
        <v>552</v>
      </c>
    </row>
    <row r="7" customFormat="false" ht="15" hidden="false" customHeight="false" outlineLevel="0" collapsed="false">
      <c r="A7" s="14" t="s">
        <v>472</v>
      </c>
      <c r="B7" s="14" t="s">
        <v>572</v>
      </c>
      <c r="C7" s="15" t="n">
        <v>4.52</v>
      </c>
      <c r="D7" s="5" t="n">
        <f aca="false">INDEX(Doi_chieu_nguoi!$F$2:$F$13,MATCH(A7,Doi_chieu_nguoi!$A$2:$A$13,0))</f>
        <v>2862954.54545455</v>
      </c>
      <c r="E7" s="6" t="n">
        <f aca="false">C7*D7</f>
        <v>12940554.5454545</v>
      </c>
      <c r="F7" s="14" t="s">
        <v>572</v>
      </c>
    </row>
    <row r="8" customFormat="false" ht="15" hidden="false" customHeight="false" outlineLevel="0" collapsed="false">
      <c r="A8" s="14" t="s">
        <v>472</v>
      </c>
      <c r="B8" s="14" t="s">
        <v>573</v>
      </c>
      <c r="C8" s="15" t="n">
        <v>5.52</v>
      </c>
      <c r="D8" s="5" t="n">
        <f aca="false">INDEX(Doi_chieu_nguoi!$F$2:$F$13,MATCH(A8,Doi_chieu_nguoi!$A$2:$A$13,0))</f>
        <v>2862954.54545455</v>
      </c>
      <c r="E8" s="6" t="n">
        <f aca="false">C8*D8</f>
        <v>15803509.0909091</v>
      </c>
      <c r="F8" s="14" t="s">
        <v>573</v>
      </c>
    </row>
    <row r="9" customFormat="false" ht="15" hidden="false" customHeight="false" outlineLevel="0" collapsed="false">
      <c r="A9" s="14" t="s">
        <v>472</v>
      </c>
      <c r="B9" s="14" t="s">
        <v>574</v>
      </c>
      <c r="C9" s="15" t="n">
        <v>6.53</v>
      </c>
      <c r="D9" s="5" t="n">
        <f aca="false">INDEX(Doi_chieu_nguoi!$F$2:$F$13,MATCH(A9,Doi_chieu_nguoi!$A$2:$A$13,0))</f>
        <v>2862954.54545455</v>
      </c>
      <c r="E9" s="6" t="n">
        <f aca="false">C9*D9</f>
        <v>18695093.1818182</v>
      </c>
      <c r="F9" s="14" t="s">
        <v>574</v>
      </c>
    </row>
    <row r="10" customFormat="false" ht="15" hidden="false" customHeight="false" outlineLevel="0" collapsed="false">
      <c r="A10" s="14" t="s">
        <v>472</v>
      </c>
      <c r="B10" s="14" t="s">
        <v>554</v>
      </c>
      <c r="C10" s="15" t="n">
        <v>4.52</v>
      </c>
      <c r="D10" s="5" t="n">
        <f aca="false">INDEX(Doi_chieu_nguoi!$F$2:$F$13,MATCH(A10,Doi_chieu_nguoi!$A$2:$A$13,0))</f>
        <v>2862954.54545455</v>
      </c>
      <c r="E10" s="6" t="n">
        <f aca="false">C10*D10</f>
        <v>12940554.5454545</v>
      </c>
      <c r="F10" s="14" t="s">
        <v>554</v>
      </c>
    </row>
    <row r="11" customFormat="false" ht="15" hidden="false" customHeight="false" outlineLevel="0" collapsed="false">
      <c r="A11" s="14" t="s">
        <v>472</v>
      </c>
      <c r="B11" s="14" t="s">
        <v>580</v>
      </c>
      <c r="C11" s="15" t="n">
        <v>2</v>
      </c>
      <c r="D11" s="5" t="n">
        <f aca="false">INDEX(Doi_chieu_nguoi!$F$2:$F$13,MATCH(A11,Doi_chieu_nguoi!$A$2:$A$13,0))</f>
        <v>2862954.54545455</v>
      </c>
      <c r="E11" s="6" t="n">
        <f aca="false">C11*D11</f>
        <v>5725909.09090909</v>
      </c>
      <c r="F11" s="14" t="s">
        <v>556</v>
      </c>
    </row>
    <row r="12" customFormat="false" ht="15" hidden="false" customHeight="false" outlineLevel="0" collapsed="false">
      <c r="A12" s="14" t="s">
        <v>475</v>
      </c>
      <c r="B12" s="14" t="s">
        <v>569</v>
      </c>
      <c r="C12" s="15" t="n">
        <v>4</v>
      </c>
      <c r="D12" s="5" t="n">
        <f aca="false">INDEX(Doi_chieu_nguoi!$F$2:$F$13,MATCH(A12,Doi_chieu_nguoi!$A$2:$A$13,0))</f>
        <v>1684090.90909091</v>
      </c>
      <c r="E12" s="6" t="n">
        <f aca="false">C12*D12</f>
        <v>6736363.63636364</v>
      </c>
      <c r="F12" s="14" t="s">
        <v>569</v>
      </c>
    </row>
    <row r="13" customFormat="false" ht="15" hidden="false" customHeight="false" outlineLevel="0" collapsed="false">
      <c r="A13" s="14" t="s">
        <v>475</v>
      </c>
      <c r="B13" s="14" t="s">
        <v>549</v>
      </c>
      <c r="C13" s="15" t="n">
        <v>5</v>
      </c>
      <c r="D13" s="5" t="n">
        <f aca="false">INDEX(Doi_chieu_nguoi!$F$2:$F$13,MATCH(A13,Doi_chieu_nguoi!$A$2:$A$13,0))</f>
        <v>1684090.90909091</v>
      </c>
      <c r="E13" s="6" t="n">
        <f aca="false">C13*D13</f>
        <v>8420454.54545455</v>
      </c>
      <c r="F13" s="14" t="s">
        <v>549</v>
      </c>
    </row>
    <row r="14" customFormat="false" ht="15" hidden="false" customHeight="false" outlineLevel="0" collapsed="false">
      <c r="A14" s="14" t="s">
        <v>475</v>
      </c>
      <c r="B14" s="14" t="s">
        <v>570</v>
      </c>
      <c r="C14" s="15" t="n">
        <v>7</v>
      </c>
      <c r="D14" s="5" t="n">
        <f aca="false">INDEX(Doi_chieu_nguoi!$F$2:$F$13,MATCH(A14,Doi_chieu_nguoi!$A$2:$A$13,0))</f>
        <v>1684090.90909091</v>
      </c>
      <c r="E14" s="6" t="n">
        <f aca="false">C14*D14</f>
        <v>11788636.3636364</v>
      </c>
      <c r="F14" s="14" t="s">
        <v>570</v>
      </c>
    </row>
    <row r="15" customFormat="false" ht="15" hidden="false" customHeight="false" outlineLevel="0" collapsed="false">
      <c r="A15" s="14" t="s">
        <v>475</v>
      </c>
      <c r="B15" s="14" t="s">
        <v>571</v>
      </c>
      <c r="C15" s="15" t="n">
        <v>11.62</v>
      </c>
      <c r="D15" s="5" t="n">
        <f aca="false">INDEX(Doi_chieu_nguoi!$F$2:$F$13,MATCH(A15,Doi_chieu_nguoi!$A$2:$A$13,0))</f>
        <v>1684090.90909091</v>
      </c>
      <c r="E15" s="6" t="n">
        <f aca="false">C15*D15</f>
        <v>19569136.3636364</v>
      </c>
      <c r="F15" s="14" t="s">
        <v>571</v>
      </c>
    </row>
    <row r="16" customFormat="false" ht="15" hidden="false" customHeight="false" outlineLevel="0" collapsed="false">
      <c r="A16" s="14" t="s">
        <v>475</v>
      </c>
      <c r="B16" s="14" t="s">
        <v>552</v>
      </c>
      <c r="C16" s="15" t="n">
        <v>8.38</v>
      </c>
      <c r="D16" s="5" t="n">
        <f aca="false">INDEX(Doi_chieu_nguoi!$F$2:$F$13,MATCH(A16,Doi_chieu_nguoi!$A$2:$A$13,0))</f>
        <v>1684090.90909091</v>
      </c>
      <c r="E16" s="6" t="n">
        <f aca="false">C16*D16</f>
        <v>14112681.8181818</v>
      </c>
      <c r="F16" s="14" t="s">
        <v>552</v>
      </c>
    </row>
    <row r="17" customFormat="false" ht="15" hidden="false" customHeight="false" outlineLevel="0" collapsed="false">
      <c r="A17" s="14" t="s">
        <v>475</v>
      </c>
      <c r="B17" s="14" t="s">
        <v>572</v>
      </c>
      <c r="C17" s="15" t="n">
        <v>9</v>
      </c>
      <c r="D17" s="5" t="n">
        <f aca="false">INDEX(Doi_chieu_nguoi!$F$2:$F$13,MATCH(A17,Doi_chieu_nguoi!$A$2:$A$13,0))</f>
        <v>1684090.90909091</v>
      </c>
      <c r="E17" s="6" t="n">
        <f aca="false">C17*D17</f>
        <v>15156818.1818182</v>
      </c>
      <c r="F17" s="14" t="s">
        <v>572</v>
      </c>
    </row>
    <row r="18" customFormat="false" ht="15" hidden="false" customHeight="false" outlineLevel="0" collapsed="false">
      <c r="A18" s="14" t="s">
        <v>475</v>
      </c>
      <c r="B18" s="14" t="s">
        <v>573</v>
      </c>
      <c r="C18" s="15" t="n">
        <v>0</v>
      </c>
      <c r="D18" s="5" t="n">
        <f aca="false">INDEX(Doi_chieu_nguoi!$F$2:$F$13,MATCH(A18,Doi_chieu_nguoi!$A$2:$A$13,0))</f>
        <v>1684090.90909091</v>
      </c>
      <c r="E18" s="6" t="n">
        <f aca="false">C18*D18</f>
        <v>0</v>
      </c>
      <c r="F18" s="14" t="s">
        <v>573</v>
      </c>
    </row>
    <row r="19" customFormat="false" ht="15" hidden="false" customHeight="false" outlineLevel="0" collapsed="false">
      <c r="A19" s="14" t="s">
        <v>475</v>
      </c>
      <c r="B19" s="14" t="s">
        <v>574</v>
      </c>
      <c r="C19" s="15" t="n">
        <v>0</v>
      </c>
      <c r="D19" s="5" t="n">
        <f aca="false">INDEX(Doi_chieu_nguoi!$F$2:$F$13,MATCH(A19,Doi_chieu_nguoi!$A$2:$A$13,0))</f>
        <v>1684090.90909091</v>
      </c>
      <c r="E19" s="6" t="n">
        <f aca="false">C19*D19</f>
        <v>0</v>
      </c>
      <c r="F19" s="14" t="s">
        <v>574</v>
      </c>
    </row>
    <row r="20" customFormat="false" ht="15" hidden="false" customHeight="false" outlineLevel="0" collapsed="false">
      <c r="A20" s="14" t="s">
        <v>475</v>
      </c>
      <c r="B20" s="14" t="s">
        <v>554</v>
      </c>
      <c r="C20" s="15" t="n">
        <v>5</v>
      </c>
      <c r="D20" s="5" t="n">
        <f aca="false">INDEX(Doi_chieu_nguoi!$F$2:$F$13,MATCH(A20,Doi_chieu_nguoi!$A$2:$A$13,0))</f>
        <v>1684090.90909091</v>
      </c>
      <c r="E20" s="6" t="n">
        <f aca="false">C20*D20</f>
        <v>8420454.54545455</v>
      </c>
      <c r="F20" s="14" t="s">
        <v>554</v>
      </c>
    </row>
    <row r="21" customFormat="false" ht="15" hidden="false" customHeight="false" outlineLevel="0" collapsed="false">
      <c r="A21" s="14" t="s">
        <v>477</v>
      </c>
      <c r="B21" s="14" t="s">
        <v>569</v>
      </c>
      <c r="C21" s="15" t="n">
        <v>9</v>
      </c>
      <c r="D21" s="5" t="n">
        <f aca="false">INDEX(Doi_chieu_nguoi!$F$2:$F$13,MATCH(A21,Doi_chieu_nguoi!$A$2:$A$13,0))</f>
        <v>1571818.18181818</v>
      </c>
      <c r="E21" s="6" t="n">
        <f aca="false">C21*D21</f>
        <v>14146363.6363636</v>
      </c>
      <c r="F21" s="14" t="s">
        <v>569</v>
      </c>
    </row>
    <row r="22" customFormat="false" ht="15" hidden="false" customHeight="false" outlineLevel="0" collapsed="false">
      <c r="A22" s="14" t="s">
        <v>477</v>
      </c>
      <c r="B22" s="14" t="s">
        <v>549</v>
      </c>
      <c r="C22" s="15" t="n">
        <v>10</v>
      </c>
      <c r="D22" s="5" t="n">
        <f aca="false">INDEX(Doi_chieu_nguoi!$F$2:$F$13,MATCH(A22,Doi_chieu_nguoi!$A$2:$A$13,0))</f>
        <v>1571818.18181818</v>
      </c>
      <c r="E22" s="6" t="n">
        <f aca="false">C22*D22</f>
        <v>15718181.8181818</v>
      </c>
      <c r="F22" s="14" t="s">
        <v>549</v>
      </c>
    </row>
    <row r="23" customFormat="false" ht="15" hidden="false" customHeight="false" outlineLevel="0" collapsed="false">
      <c r="A23" s="14" t="s">
        <v>477</v>
      </c>
      <c r="B23" s="14" t="s">
        <v>570</v>
      </c>
      <c r="C23" s="15" t="n">
        <v>11</v>
      </c>
      <c r="D23" s="5" t="n">
        <f aca="false">INDEX(Doi_chieu_nguoi!$F$2:$F$13,MATCH(A23,Doi_chieu_nguoi!$A$2:$A$13,0))</f>
        <v>1571818.18181818</v>
      </c>
      <c r="E23" s="6" t="n">
        <f aca="false">C23*D23</f>
        <v>17290000</v>
      </c>
      <c r="F23" s="14" t="s">
        <v>570</v>
      </c>
    </row>
    <row r="24" customFormat="false" ht="15" hidden="false" customHeight="false" outlineLevel="0" collapsed="false">
      <c r="A24" s="14" t="s">
        <v>477</v>
      </c>
      <c r="B24" s="14" t="s">
        <v>571</v>
      </c>
      <c r="C24" s="15" t="n">
        <v>8.88</v>
      </c>
      <c r="D24" s="5" t="n">
        <f aca="false">INDEX(Doi_chieu_nguoi!$F$2:$F$13,MATCH(A24,Doi_chieu_nguoi!$A$2:$A$13,0))</f>
        <v>1571818.18181818</v>
      </c>
      <c r="E24" s="6" t="n">
        <f aca="false">C24*D24</f>
        <v>13957745.4545455</v>
      </c>
      <c r="F24" s="14" t="s">
        <v>571</v>
      </c>
    </row>
    <row r="25" customFormat="false" ht="15" hidden="false" customHeight="false" outlineLevel="0" collapsed="false">
      <c r="A25" s="14" t="s">
        <v>477</v>
      </c>
      <c r="B25" s="14" t="s">
        <v>552</v>
      </c>
      <c r="C25" s="15" t="n">
        <v>8.29</v>
      </c>
      <c r="D25" s="5" t="n">
        <f aca="false">INDEX(Doi_chieu_nguoi!$F$2:$F$13,MATCH(A25,Doi_chieu_nguoi!$A$2:$A$13,0))</f>
        <v>1571818.18181818</v>
      </c>
      <c r="E25" s="6" t="n">
        <f aca="false">C25*D25</f>
        <v>13030372.7272727</v>
      </c>
      <c r="F25" s="14" t="s">
        <v>552</v>
      </c>
    </row>
    <row r="26" customFormat="false" ht="15" hidden="false" customHeight="false" outlineLevel="0" collapsed="false">
      <c r="A26" s="14" t="s">
        <v>477</v>
      </c>
      <c r="B26" s="14" t="s">
        <v>572</v>
      </c>
      <c r="C26" s="15" t="n">
        <v>4.83</v>
      </c>
      <c r="D26" s="5" t="n">
        <f aca="false">INDEX(Doi_chieu_nguoi!$F$2:$F$13,MATCH(A26,Doi_chieu_nguoi!$A$2:$A$13,0))</f>
        <v>1571818.18181818</v>
      </c>
      <c r="E26" s="6" t="n">
        <f aca="false">C26*D26</f>
        <v>7591881.81818182</v>
      </c>
      <c r="F26" s="14" t="s">
        <v>572</v>
      </c>
    </row>
    <row r="27" customFormat="false" ht="15" hidden="false" customHeight="false" outlineLevel="0" collapsed="false">
      <c r="A27" s="14" t="s">
        <v>477</v>
      </c>
      <c r="B27" s="14" t="s">
        <v>573</v>
      </c>
      <c r="C27" s="15" t="n">
        <v>0</v>
      </c>
      <c r="D27" s="5" t="n">
        <f aca="false">INDEX(Doi_chieu_nguoi!$F$2:$F$13,MATCH(A27,Doi_chieu_nguoi!$A$2:$A$13,0))</f>
        <v>1571818.18181818</v>
      </c>
      <c r="E27" s="6" t="n">
        <f aca="false">C27*D27</f>
        <v>0</v>
      </c>
      <c r="F27" s="14" t="s">
        <v>573</v>
      </c>
    </row>
    <row r="28" customFormat="false" ht="15" hidden="false" customHeight="false" outlineLevel="0" collapsed="false">
      <c r="A28" s="14" t="s">
        <v>477</v>
      </c>
      <c r="B28" s="14" t="s">
        <v>574</v>
      </c>
      <c r="C28" s="15" t="n">
        <v>2</v>
      </c>
      <c r="D28" s="5" t="n">
        <f aca="false">INDEX(Doi_chieu_nguoi!$F$2:$F$13,MATCH(A28,Doi_chieu_nguoi!$A$2:$A$13,0))</f>
        <v>1571818.18181818</v>
      </c>
      <c r="E28" s="6" t="n">
        <f aca="false">C28*D28</f>
        <v>3143636.36363636</v>
      </c>
      <c r="F28" s="14" t="s">
        <v>574</v>
      </c>
    </row>
    <row r="29" customFormat="false" ht="15" hidden="false" customHeight="false" outlineLevel="0" collapsed="false">
      <c r="A29" s="14" t="s">
        <v>477</v>
      </c>
      <c r="B29" s="14" t="s">
        <v>554</v>
      </c>
      <c r="C29" s="15" t="n">
        <v>4</v>
      </c>
      <c r="D29" s="5" t="n">
        <f aca="false">INDEX(Doi_chieu_nguoi!$F$2:$F$13,MATCH(A29,Doi_chieu_nguoi!$A$2:$A$13,0))</f>
        <v>1571818.18181818</v>
      </c>
      <c r="E29" s="6" t="n">
        <f aca="false">C29*D29</f>
        <v>6287272.72727273</v>
      </c>
      <c r="F29" s="14" t="s">
        <v>554</v>
      </c>
    </row>
    <row r="30" customFormat="false" ht="15" hidden="false" customHeight="false" outlineLevel="0" collapsed="false">
      <c r="A30" s="14" t="s">
        <v>479</v>
      </c>
      <c r="B30" s="14" t="s">
        <v>569</v>
      </c>
      <c r="C30" s="15" t="n">
        <v>5.86</v>
      </c>
      <c r="D30" s="5" t="n">
        <f aca="false">INDEX(Doi_chieu_nguoi!$F$2:$F$13,MATCH(A30,Doi_chieu_nguoi!$A$2:$A$13,0))</f>
        <v>1684090.90909091</v>
      </c>
      <c r="E30" s="6" t="n">
        <f aca="false">C30*D30</f>
        <v>9868772.72727273</v>
      </c>
      <c r="F30" s="14" t="s">
        <v>569</v>
      </c>
    </row>
    <row r="31" customFormat="false" ht="15" hidden="false" customHeight="false" outlineLevel="0" collapsed="false">
      <c r="A31" s="14" t="s">
        <v>479</v>
      </c>
      <c r="B31" s="14" t="s">
        <v>549</v>
      </c>
      <c r="C31" s="15" t="n">
        <v>9.14</v>
      </c>
      <c r="D31" s="5" t="n">
        <f aca="false">INDEX(Doi_chieu_nguoi!$F$2:$F$13,MATCH(A31,Doi_chieu_nguoi!$A$2:$A$13,0))</f>
        <v>1684090.90909091</v>
      </c>
      <c r="E31" s="6" t="n">
        <f aca="false">C31*D31</f>
        <v>15392590.9090909</v>
      </c>
      <c r="F31" s="14" t="s">
        <v>549</v>
      </c>
    </row>
    <row r="32" customFormat="false" ht="15" hidden="false" customHeight="false" outlineLevel="0" collapsed="false">
      <c r="A32" s="14" t="s">
        <v>479</v>
      </c>
      <c r="B32" s="14" t="s">
        <v>570</v>
      </c>
      <c r="C32" s="15" t="n">
        <v>12.25</v>
      </c>
      <c r="D32" s="5" t="n">
        <f aca="false">INDEX(Doi_chieu_nguoi!$F$2:$F$13,MATCH(A32,Doi_chieu_nguoi!$A$2:$A$13,0))</f>
        <v>1684090.90909091</v>
      </c>
      <c r="E32" s="6" t="n">
        <f aca="false">C32*D32</f>
        <v>20630113.6363636</v>
      </c>
      <c r="F32" s="14" t="s">
        <v>570</v>
      </c>
    </row>
    <row r="33" customFormat="false" ht="15" hidden="false" customHeight="false" outlineLevel="0" collapsed="false">
      <c r="A33" s="14" t="s">
        <v>479</v>
      </c>
      <c r="B33" s="14" t="s">
        <v>571</v>
      </c>
      <c r="C33" s="15" t="n">
        <v>9.45</v>
      </c>
      <c r="D33" s="5" t="n">
        <f aca="false">INDEX(Doi_chieu_nguoi!$F$2:$F$13,MATCH(A33,Doi_chieu_nguoi!$A$2:$A$13,0))</f>
        <v>1684090.90909091</v>
      </c>
      <c r="E33" s="6" t="n">
        <f aca="false">C33*D33</f>
        <v>15914659.0909091</v>
      </c>
      <c r="F33" s="14" t="s">
        <v>571</v>
      </c>
    </row>
    <row r="34" customFormat="false" ht="15" hidden="false" customHeight="false" outlineLevel="0" collapsed="false">
      <c r="A34" s="14" t="s">
        <v>479</v>
      </c>
      <c r="B34" s="14" t="s">
        <v>552</v>
      </c>
      <c r="C34" s="15" t="n">
        <v>9.3</v>
      </c>
      <c r="D34" s="5" t="n">
        <f aca="false">INDEX(Doi_chieu_nguoi!$F$2:$F$13,MATCH(A34,Doi_chieu_nguoi!$A$2:$A$13,0))</f>
        <v>1684090.90909091</v>
      </c>
      <c r="E34" s="6" t="n">
        <f aca="false">C34*D34</f>
        <v>15662045.4545455</v>
      </c>
      <c r="F34" s="14" t="s">
        <v>552</v>
      </c>
    </row>
    <row r="35" customFormat="false" ht="15" hidden="false" customHeight="false" outlineLevel="0" collapsed="false">
      <c r="A35" s="14" t="s">
        <v>479</v>
      </c>
      <c r="B35" s="14" t="s">
        <v>572</v>
      </c>
      <c r="C35" s="15" t="n">
        <v>9.5</v>
      </c>
      <c r="D35" s="5" t="n">
        <f aca="false">INDEX(Doi_chieu_nguoi!$F$2:$F$13,MATCH(A35,Doi_chieu_nguoi!$A$2:$A$13,0))</f>
        <v>1684090.90909091</v>
      </c>
      <c r="E35" s="6" t="n">
        <f aca="false">C35*D35</f>
        <v>15998863.6363636</v>
      </c>
      <c r="F35" s="14" t="s">
        <v>572</v>
      </c>
    </row>
    <row r="36" customFormat="false" ht="15" hidden="false" customHeight="false" outlineLevel="0" collapsed="false">
      <c r="A36" s="14" t="s">
        <v>479</v>
      </c>
      <c r="B36" s="14" t="s">
        <v>573</v>
      </c>
      <c r="C36" s="15" t="n">
        <v>2</v>
      </c>
      <c r="D36" s="5" t="n">
        <f aca="false">INDEX(Doi_chieu_nguoi!$F$2:$F$13,MATCH(A36,Doi_chieu_nguoi!$A$2:$A$13,0))</f>
        <v>1684090.90909091</v>
      </c>
      <c r="E36" s="6" t="n">
        <f aca="false">C36*D36</f>
        <v>3368181.81818182</v>
      </c>
      <c r="F36" s="14" t="s">
        <v>573</v>
      </c>
    </row>
    <row r="37" customFormat="false" ht="15" hidden="false" customHeight="false" outlineLevel="0" collapsed="false">
      <c r="A37" s="14" t="s">
        <v>479</v>
      </c>
      <c r="B37" s="14" t="s">
        <v>574</v>
      </c>
      <c r="C37" s="15" t="n">
        <v>0</v>
      </c>
      <c r="D37" s="5" t="n">
        <f aca="false">INDEX(Doi_chieu_nguoi!$F$2:$F$13,MATCH(A37,Doi_chieu_nguoi!$A$2:$A$13,0))</f>
        <v>1684090.90909091</v>
      </c>
      <c r="E37" s="6" t="n">
        <f aca="false">C37*D37</f>
        <v>0</v>
      </c>
      <c r="F37" s="14" t="s">
        <v>574</v>
      </c>
    </row>
    <row r="38" customFormat="false" ht="15" hidden="false" customHeight="false" outlineLevel="0" collapsed="false">
      <c r="A38" s="14" t="s">
        <v>479</v>
      </c>
      <c r="B38" s="14" t="s">
        <v>554</v>
      </c>
      <c r="C38" s="15" t="n">
        <v>9</v>
      </c>
      <c r="D38" s="5" t="n">
        <f aca="false">INDEX(Doi_chieu_nguoi!$F$2:$F$13,MATCH(A38,Doi_chieu_nguoi!$A$2:$A$13,0))</f>
        <v>1684090.90909091</v>
      </c>
      <c r="E38" s="6" t="n">
        <f aca="false">C38*D38</f>
        <v>15156818.1818182</v>
      </c>
      <c r="F38" s="14" t="s">
        <v>554</v>
      </c>
    </row>
    <row r="39" customFormat="false" ht="15" hidden="false" customHeight="false" outlineLevel="0" collapsed="false">
      <c r="A39" s="14" t="s">
        <v>481</v>
      </c>
      <c r="B39" s="14" t="s">
        <v>569</v>
      </c>
      <c r="C39" s="15" t="n">
        <v>10</v>
      </c>
      <c r="D39" s="5" t="n">
        <f aca="false">INDEX(Doi_chieu_nguoi!$F$2:$F$13,MATCH(A39,Doi_chieu_nguoi!$A$2:$A$13,0))</f>
        <v>1515681.81818182</v>
      </c>
      <c r="E39" s="6" t="n">
        <f aca="false">C39*D39</f>
        <v>15156818.1818182</v>
      </c>
      <c r="F39" s="14" t="s">
        <v>569</v>
      </c>
    </row>
    <row r="40" customFormat="false" ht="15" hidden="false" customHeight="false" outlineLevel="0" collapsed="false">
      <c r="A40" s="14" t="s">
        <v>481</v>
      </c>
      <c r="B40" s="14" t="s">
        <v>549</v>
      </c>
      <c r="C40" s="15" t="n">
        <v>10</v>
      </c>
      <c r="D40" s="5" t="n">
        <f aca="false">INDEX(Doi_chieu_nguoi!$F$2:$F$13,MATCH(A40,Doi_chieu_nguoi!$A$2:$A$13,0))</f>
        <v>1515681.81818182</v>
      </c>
      <c r="E40" s="6" t="n">
        <f aca="false">C40*D40</f>
        <v>15156818.1818182</v>
      </c>
      <c r="F40" s="14" t="s">
        <v>549</v>
      </c>
    </row>
    <row r="41" customFormat="false" ht="15" hidden="false" customHeight="false" outlineLevel="0" collapsed="false">
      <c r="A41" s="14" t="s">
        <v>481</v>
      </c>
      <c r="B41" s="14" t="s">
        <v>570</v>
      </c>
      <c r="C41" s="15" t="n">
        <v>11</v>
      </c>
      <c r="D41" s="5" t="n">
        <f aca="false">INDEX(Doi_chieu_nguoi!$F$2:$F$13,MATCH(A41,Doi_chieu_nguoi!$A$2:$A$13,0))</f>
        <v>1515681.81818182</v>
      </c>
      <c r="E41" s="6" t="n">
        <f aca="false">C41*D41</f>
        <v>16672500</v>
      </c>
      <c r="F41" s="14" t="s">
        <v>570</v>
      </c>
    </row>
    <row r="42" customFormat="false" ht="15" hidden="false" customHeight="false" outlineLevel="0" collapsed="false">
      <c r="A42" s="14" t="s">
        <v>481</v>
      </c>
      <c r="B42" s="14" t="s">
        <v>571</v>
      </c>
      <c r="C42" s="15" t="n">
        <v>7.96</v>
      </c>
      <c r="D42" s="5" t="n">
        <f aca="false">INDEX(Doi_chieu_nguoi!$F$2:$F$13,MATCH(A42,Doi_chieu_nguoi!$A$2:$A$13,0))</f>
        <v>1515681.81818182</v>
      </c>
      <c r="E42" s="6" t="n">
        <f aca="false">C42*D42</f>
        <v>12064827.2727273</v>
      </c>
      <c r="F42" s="14" t="s">
        <v>571</v>
      </c>
    </row>
    <row r="43" customFormat="false" ht="15" hidden="false" customHeight="false" outlineLevel="0" collapsed="false">
      <c r="A43" s="14" t="s">
        <v>481</v>
      </c>
      <c r="B43" s="14" t="s">
        <v>552</v>
      </c>
      <c r="C43" s="15" t="n">
        <v>8.04</v>
      </c>
      <c r="D43" s="5" t="n">
        <f aca="false">INDEX(Doi_chieu_nguoi!$F$2:$F$13,MATCH(A43,Doi_chieu_nguoi!$A$2:$A$13,0))</f>
        <v>1515681.81818182</v>
      </c>
      <c r="E43" s="6" t="n">
        <f aca="false">C43*D43</f>
        <v>12186081.8181818</v>
      </c>
      <c r="F43" s="14" t="s">
        <v>552</v>
      </c>
    </row>
    <row r="44" customFormat="false" ht="15" hidden="false" customHeight="false" outlineLevel="0" collapsed="false">
      <c r="A44" s="14" t="s">
        <v>481</v>
      </c>
      <c r="B44" s="14" t="s">
        <v>572</v>
      </c>
      <c r="C44" s="15" t="n">
        <v>9.5</v>
      </c>
      <c r="D44" s="5" t="n">
        <f aca="false">INDEX(Doi_chieu_nguoi!$F$2:$F$13,MATCH(A44,Doi_chieu_nguoi!$A$2:$A$13,0))</f>
        <v>1515681.81818182</v>
      </c>
      <c r="E44" s="6" t="n">
        <f aca="false">C44*D44</f>
        <v>14398977.2727273</v>
      </c>
      <c r="F44" s="14" t="s">
        <v>572</v>
      </c>
    </row>
    <row r="45" customFormat="false" ht="15" hidden="false" customHeight="false" outlineLevel="0" collapsed="false">
      <c r="A45" s="14" t="s">
        <v>481</v>
      </c>
      <c r="B45" s="14" t="s">
        <v>573</v>
      </c>
      <c r="C45" s="15" t="n">
        <v>7</v>
      </c>
      <c r="D45" s="5" t="n">
        <f aca="false">INDEX(Doi_chieu_nguoi!$F$2:$F$13,MATCH(A45,Doi_chieu_nguoi!$A$2:$A$13,0))</f>
        <v>1515681.81818182</v>
      </c>
      <c r="E45" s="6" t="n">
        <f aca="false">C45*D45</f>
        <v>10609772.7272727</v>
      </c>
      <c r="F45" s="14" t="s">
        <v>573</v>
      </c>
    </row>
    <row r="46" customFormat="false" ht="15" hidden="false" customHeight="false" outlineLevel="0" collapsed="false">
      <c r="A46" s="14" t="s">
        <v>481</v>
      </c>
      <c r="B46" s="14" t="s">
        <v>574</v>
      </c>
      <c r="C46" s="15" t="n">
        <v>3.5</v>
      </c>
      <c r="D46" s="5" t="n">
        <f aca="false">INDEX(Doi_chieu_nguoi!$F$2:$F$13,MATCH(A46,Doi_chieu_nguoi!$A$2:$A$13,0))</f>
        <v>1515681.81818182</v>
      </c>
      <c r="E46" s="6" t="n">
        <f aca="false">C46*D46</f>
        <v>5304886.36363636</v>
      </c>
      <c r="F46" s="14" t="s">
        <v>574</v>
      </c>
    </row>
    <row r="47" customFormat="false" ht="15" hidden="false" customHeight="false" outlineLevel="0" collapsed="false">
      <c r="A47" s="14" t="s">
        <v>481</v>
      </c>
      <c r="B47" s="14" t="s">
        <v>554</v>
      </c>
      <c r="C47" s="15" t="n">
        <v>5.5</v>
      </c>
      <c r="D47" s="5" t="n">
        <f aca="false">INDEX(Doi_chieu_nguoi!$F$2:$F$13,MATCH(A47,Doi_chieu_nguoi!$A$2:$A$13,0))</f>
        <v>1515681.81818182</v>
      </c>
      <c r="E47" s="6" t="n">
        <f aca="false">C47*D47</f>
        <v>8336250</v>
      </c>
      <c r="F47" s="14" t="s">
        <v>554</v>
      </c>
    </row>
    <row r="48" customFormat="false" ht="15" hidden="false" customHeight="false" outlineLevel="0" collapsed="false">
      <c r="A48" s="14" t="s">
        <v>483</v>
      </c>
      <c r="B48" s="14" t="s">
        <v>569</v>
      </c>
      <c r="C48" s="15" t="n">
        <v>9.67</v>
      </c>
      <c r="D48" s="5" t="n">
        <f aca="false">INDEX(Doi_chieu_nguoi!$F$2:$F$13,MATCH(A48,Doi_chieu_nguoi!$A$2:$A$13,0))</f>
        <v>2638409.09090909</v>
      </c>
      <c r="E48" s="6" t="n">
        <f aca="false">C48*D48</f>
        <v>25513415.9090909</v>
      </c>
      <c r="F48" s="14" t="s">
        <v>569</v>
      </c>
    </row>
    <row r="49" customFormat="false" ht="15" hidden="false" customHeight="false" outlineLevel="0" collapsed="false">
      <c r="A49" s="14" t="s">
        <v>483</v>
      </c>
      <c r="B49" s="14" t="s">
        <v>549</v>
      </c>
      <c r="C49" s="15" t="n">
        <v>9</v>
      </c>
      <c r="D49" s="5" t="n">
        <f aca="false">INDEX(Doi_chieu_nguoi!$F$2:$F$13,MATCH(A49,Doi_chieu_nguoi!$A$2:$A$13,0))</f>
        <v>2638409.09090909</v>
      </c>
      <c r="E49" s="6" t="n">
        <f aca="false">C49*D49</f>
        <v>23745681.8181818</v>
      </c>
      <c r="F49" s="14" t="s">
        <v>549</v>
      </c>
    </row>
    <row r="50" customFormat="false" ht="15" hidden="false" customHeight="false" outlineLevel="0" collapsed="false">
      <c r="A50" s="14" t="s">
        <v>483</v>
      </c>
      <c r="B50" s="14" t="s">
        <v>570</v>
      </c>
      <c r="C50" s="15" t="n">
        <v>12</v>
      </c>
      <c r="D50" s="5" t="n">
        <f aca="false">INDEX(Doi_chieu_nguoi!$F$2:$F$13,MATCH(A50,Doi_chieu_nguoi!$A$2:$A$13,0))</f>
        <v>2638409.09090909</v>
      </c>
      <c r="E50" s="6" t="n">
        <f aca="false">C50*D50</f>
        <v>31660909.0909091</v>
      </c>
      <c r="F50" s="14" t="s">
        <v>570</v>
      </c>
    </row>
    <row r="51" customFormat="false" ht="15" hidden="false" customHeight="false" outlineLevel="0" collapsed="false">
      <c r="A51" s="14" t="s">
        <v>483</v>
      </c>
      <c r="B51" s="14" t="s">
        <v>571</v>
      </c>
      <c r="C51" s="15" t="n">
        <v>9.5</v>
      </c>
      <c r="D51" s="5" t="n">
        <f aca="false">INDEX(Doi_chieu_nguoi!$F$2:$F$13,MATCH(A51,Doi_chieu_nguoi!$A$2:$A$13,0))</f>
        <v>2638409.09090909</v>
      </c>
      <c r="E51" s="6" t="n">
        <f aca="false">C51*D51</f>
        <v>25064886.3636364</v>
      </c>
      <c r="F51" s="14" t="s">
        <v>571</v>
      </c>
    </row>
    <row r="52" customFormat="false" ht="15" hidden="false" customHeight="false" outlineLevel="0" collapsed="false">
      <c r="A52" s="14" t="s">
        <v>483</v>
      </c>
      <c r="B52" s="14" t="s">
        <v>552</v>
      </c>
      <c r="C52" s="15" t="n">
        <v>7</v>
      </c>
      <c r="D52" s="5" t="n">
        <f aca="false">INDEX(Doi_chieu_nguoi!$F$2:$F$13,MATCH(A52,Doi_chieu_nguoi!$A$2:$A$13,0))</f>
        <v>2638409.09090909</v>
      </c>
      <c r="E52" s="6" t="n">
        <f aca="false">C52*D52</f>
        <v>18468863.6363636</v>
      </c>
      <c r="F52" s="14" t="s">
        <v>552</v>
      </c>
    </row>
    <row r="53" customFormat="false" ht="15" hidden="false" customHeight="false" outlineLevel="0" collapsed="false">
      <c r="A53" s="14" t="s">
        <v>483</v>
      </c>
      <c r="B53" s="14" t="s">
        <v>572</v>
      </c>
      <c r="C53" s="15" t="n">
        <v>9.5</v>
      </c>
      <c r="D53" s="5" t="n">
        <f aca="false">INDEX(Doi_chieu_nguoi!$F$2:$F$13,MATCH(A53,Doi_chieu_nguoi!$A$2:$A$13,0))</f>
        <v>2638409.09090909</v>
      </c>
      <c r="E53" s="6" t="n">
        <f aca="false">C53*D53</f>
        <v>25064886.3636364</v>
      </c>
      <c r="F53" s="14" t="s">
        <v>572</v>
      </c>
    </row>
    <row r="54" customFormat="false" ht="15" hidden="false" customHeight="false" outlineLevel="0" collapsed="false">
      <c r="A54" s="14" t="s">
        <v>483</v>
      </c>
      <c r="B54" s="14" t="s">
        <v>573</v>
      </c>
      <c r="C54" s="15" t="n">
        <v>0</v>
      </c>
      <c r="D54" s="5" t="n">
        <f aca="false">INDEX(Doi_chieu_nguoi!$F$2:$F$13,MATCH(A54,Doi_chieu_nguoi!$A$2:$A$13,0))</f>
        <v>2638409.09090909</v>
      </c>
      <c r="E54" s="6" t="n">
        <f aca="false">C54*D54</f>
        <v>0</v>
      </c>
      <c r="F54" s="14" t="s">
        <v>573</v>
      </c>
    </row>
    <row r="55" customFormat="false" ht="15" hidden="false" customHeight="false" outlineLevel="0" collapsed="false">
      <c r="A55" s="14" t="s">
        <v>483</v>
      </c>
      <c r="B55" s="14" t="s">
        <v>574</v>
      </c>
      <c r="C55" s="15" t="n">
        <v>7.5</v>
      </c>
      <c r="D55" s="5" t="n">
        <f aca="false">INDEX(Doi_chieu_nguoi!$F$2:$F$13,MATCH(A55,Doi_chieu_nguoi!$A$2:$A$13,0))</f>
        <v>2638409.09090909</v>
      </c>
      <c r="E55" s="6" t="n">
        <f aca="false">C55*D55</f>
        <v>19788068.1818182</v>
      </c>
      <c r="F55" s="14" t="s">
        <v>574</v>
      </c>
    </row>
    <row r="56" customFormat="false" ht="15" hidden="false" customHeight="false" outlineLevel="0" collapsed="false">
      <c r="A56" s="14" t="s">
        <v>483</v>
      </c>
      <c r="B56" s="14" t="s">
        <v>554</v>
      </c>
      <c r="C56" s="15" t="n">
        <v>6.5</v>
      </c>
      <c r="D56" s="5" t="n">
        <f aca="false">INDEX(Doi_chieu_nguoi!$F$2:$F$13,MATCH(A56,Doi_chieu_nguoi!$A$2:$A$13,0))</f>
        <v>2638409.09090909</v>
      </c>
      <c r="E56" s="6" t="n">
        <f aca="false">C56*D56</f>
        <v>17149659.0909091</v>
      </c>
      <c r="F56" s="14" t="s">
        <v>554</v>
      </c>
    </row>
    <row r="57" customFormat="false" ht="15" hidden="false" customHeight="false" outlineLevel="0" collapsed="false">
      <c r="A57" s="14" t="s">
        <v>486</v>
      </c>
      <c r="B57" s="14" t="s">
        <v>569</v>
      </c>
      <c r="C57" s="15" t="n">
        <v>4</v>
      </c>
      <c r="D57" s="5" t="n">
        <f aca="false">INDEX(Doi_chieu_nguoi!$F$2:$F$13,MATCH(A57,Doi_chieu_nguoi!$A$2:$A$13,0))</f>
        <v>1684090.90909091</v>
      </c>
      <c r="E57" s="6" t="n">
        <f aca="false">C57*D57</f>
        <v>6736363.63636364</v>
      </c>
      <c r="F57" s="14" t="s">
        <v>569</v>
      </c>
    </row>
    <row r="58" customFormat="false" ht="15" hidden="false" customHeight="false" outlineLevel="0" collapsed="false">
      <c r="A58" s="14" t="s">
        <v>486</v>
      </c>
      <c r="B58" s="14" t="s">
        <v>549</v>
      </c>
      <c r="C58" s="15" t="n">
        <v>9</v>
      </c>
      <c r="D58" s="5" t="n">
        <f aca="false">INDEX(Doi_chieu_nguoi!$F$2:$F$13,MATCH(A58,Doi_chieu_nguoi!$A$2:$A$13,0))</f>
        <v>1684090.90909091</v>
      </c>
      <c r="E58" s="6" t="n">
        <f aca="false">C58*D58</f>
        <v>15156818.1818182</v>
      </c>
      <c r="F58" s="14" t="s">
        <v>549</v>
      </c>
    </row>
    <row r="59" customFormat="false" ht="15" hidden="false" customHeight="false" outlineLevel="0" collapsed="false">
      <c r="A59" s="14" t="s">
        <v>486</v>
      </c>
      <c r="B59" s="14" t="s">
        <v>570</v>
      </c>
      <c r="C59" s="15" t="n">
        <v>9</v>
      </c>
      <c r="D59" s="5" t="n">
        <f aca="false">INDEX(Doi_chieu_nguoi!$F$2:$F$13,MATCH(A59,Doi_chieu_nguoi!$A$2:$A$13,0))</f>
        <v>1684090.90909091</v>
      </c>
      <c r="E59" s="6" t="n">
        <f aca="false">C59*D59</f>
        <v>15156818.1818182</v>
      </c>
      <c r="F59" s="14" t="s">
        <v>570</v>
      </c>
    </row>
    <row r="60" customFormat="false" ht="15" hidden="false" customHeight="false" outlineLevel="0" collapsed="false">
      <c r="A60" s="14" t="s">
        <v>486</v>
      </c>
      <c r="B60" s="14" t="s">
        <v>571</v>
      </c>
      <c r="C60" s="15" t="n">
        <v>8.35</v>
      </c>
      <c r="D60" s="5" t="n">
        <f aca="false">INDEX(Doi_chieu_nguoi!$F$2:$F$13,MATCH(A60,Doi_chieu_nguoi!$A$2:$A$13,0))</f>
        <v>1684090.90909091</v>
      </c>
      <c r="E60" s="6" t="n">
        <f aca="false">C60*D60</f>
        <v>14062159.0909091</v>
      </c>
      <c r="F60" s="14" t="s">
        <v>571</v>
      </c>
    </row>
    <row r="61" customFormat="false" ht="15" hidden="false" customHeight="false" outlineLevel="0" collapsed="false">
      <c r="A61" s="14" t="s">
        <v>486</v>
      </c>
      <c r="B61" s="14" t="s">
        <v>552</v>
      </c>
      <c r="C61" s="15" t="n">
        <v>7.15</v>
      </c>
      <c r="D61" s="5" t="n">
        <f aca="false">INDEX(Doi_chieu_nguoi!$F$2:$F$13,MATCH(A61,Doi_chieu_nguoi!$A$2:$A$13,0))</f>
        <v>1684090.90909091</v>
      </c>
      <c r="E61" s="6" t="n">
        <f aca="false">C61*D61</f>
        <v>12041250</v>
      </c>
      <c r="F61" s="14" t="s">
        <v>552</v>
      </c>
    </row>
    <row r="62" customFormat="false" ht="15" hidden="false" customHeight="false" outlineLevel="0" collapsed="false">
      <c r="A62" s="14" t="s">
        <v>486</v>
      </c>
      <c r="B62" s="14" t="s">
        <v>572</v>
      </c>
      <c r="C62" s="15" t="n">
        <v>10</v>
      </c>
      <c r="D62" s="5" t="n">
        <f aca="false">INDEX(Doi_chieu_nguoi!$F$2:$F$13,MATCH(A62,Doi_chieu_nguoi!$A$2:$A$13,0))</f>
        <v>1684090.90909091</v>
      </c>
      <c r="E62" s="6" t="n">
        <f aca="false">C62*D62</f>
        <v>16840909.0909091</v>
      </c>
      <c r="F62" s="14" t="s">
        <v>572</v>
      </c>
    </row>
    <row r="63" customFormat="false" ht="15" hidden="false" customHeight="false" outlineLevel="0" collapsed="false">
      <c r="A63" s="14" t="s">
        <v>486</v>
      </c>
      <c r="B63" s="14" t="s">
        <v>573</v>
      </c>
      <c r="C63" s="15" t="n">
        <v>10</v>
      </c>
      <c r="D63" s="5" t="n">
        <f aca="false">INDEX(Doi_chieu_nguoi!$F$2:$F$13,MATCH(A63,Doi_chieu_nguoi!$A$2:$A$13,0))</f>
        <v>1684090.90909091</v>
      </c>
      <c r="E63" s="6" t="n">
        <f aca="false">C63*D63</f>
        <v>16840909.0909091</v>
      </c>
      <c r="F63" s="14" t="s">
        <v>573</v>
      </c>
    </row>
    <row r="64" customFormat="false" ht="15" hidden="false" customHeight="false" outlineLevel="0" collapsed="false">
      <c r="A64" s="14" t="s">
        <v>486</v>
      </c>
      <c r="B64" s="14" t="s">
        <v>574</v>
      </c>
      <c r="C64" s="15" t="n">
        <v>2</v>
      </c>
      <c r="D64" s="5" t="n">
        <f aca="false">INDEX(Doi_chieu_nguoi!$F$2:$F$13,MATCH(A64,Doi_chieu_nguoi!$A$2:$A$13,0))</f>
        <v>1684090.90909091</v>
      </c>
      <c r="E64" s="6" t="n">
        <f aca="false">C64*D64</f>
        <v>3368181.81818182</v>
      </c>
      <c r="F64" s="14" t="s">
        <v>574</v>
      </c>
    </row>
    <row r="65" customFormat="false" ht="15" hidden="false" customHeight="false" outlineLevel="0" collapsed="false">
      <c r="A65" s="14" t="s">
        <v>486</v>
      </c>
      <c r="B65" s="14" t="s">
        <v>554</v>
      </c>
      <c r="C65" s="15" t="n">
        <v>8</v>
      </c>
      <c r="D65" s="5" t="n">
        <f aca="false">INDEX(Doi_chieu_nguoi!$F$2:$F$13,MATCH(A65,Doi_chieu_nguoi!$A$2:$A$13,0))</f>
        <v>1684090.90909091</v>
      </c>
      <c r="E65" s="6" t="n">
        <f aca="false">C65*D65</f>
        <v>13472727.2727273</v>
      </c>
      <c r="F65" s="14" t="s">
        <v>554</v>
      </c>
    </row>
    <row r="66" customFormat="false" ht="15" hidden="false" customHeight="false" outlineLevel="0" collapsed="false">
      <c r="A66" s="14" t="s">
        <v>488</v>
      </c>
      <c r="B66" s="14" t="s">
        <v>569</v>
      </c>
      <c r="C66" s="15" t="n">
        <v>0</v>
      </c>
      <c r="D66" s="5" t="n">
        <f aca="false">INDEX(Doi_chieu_nguoi!$F$2:$F$13,MATCH(A66,Doi_chieu_nguoi!$A$2:$A$13,0))</f>
        <v>1684090.90909091</v>
      </c>
      <c r="E66" s="6" t="n">
        <f aca="false">C66*D66</f>
        <v>0</v>
      </c>
      <c r="F66" s="14" t="s">
        <v>569</v>
      </c>
    </row>
    <row r="67" customFormat="false" ht="15" hidden="false" customHeight="false" outlineLevel="0" collapsed="false">
      <c r="A67" s="14" t="s">
        <v>488</v>
      </c>
      <c r="B67" s="14" t="s">
        <v>549</v>
      </c>
      <c r="C67" s="15" t="n">
        <v>4</v>
      </c>
      <c r="D67" s="5" t="n">
        <f aca="false">INDEX(Doi_chieu_nguoi!$F$2:$F$13,MATCH(A67,Doi_chieu_nguoi!$A$2:$A$13,0))</f>
        <v>1684090.90909091</v>
      </c>
      <c r="E67" s="6" t="n">
        <f aca="false">C67*D67</f>
        <v>6736363.63636364</v>
      </c>
      <c r="F67" s="14" t="s">
        <v>549</v>
      </c>
    </row>
    <row r="68" customFormat="false" ht="15" hidden="false" customHeight="false" outlineLevel="0" collapsed="false">
      <c r="A68" s="14" t="s">
        <v>488</v>
      </c>
      <c r="B68" s="14" t="s">
        <v>570</v>
      </c>
      <c r="C68" s="15" t="n">
        <v>13.83</v>
      </c>
      <c r="D68" s="5" t="n">
        <f aca="false">INDEX(Doi_chieu_nguoi!$F$2:$F$13,MATCH(A68,Doi_chieu_nguoi!$A$2:$A$13,0))</f>
        <v>1684090.90909091</v>
      </c>
      <c r="E68" s="6" t="n">
        <f aca="false">C68*D68</f>
        <v>23290977.2727273</v>
      </c>
      <c r="F68" s="14" t="s">
        <v>570</v>
      </c>
    </row>
    <row r="69" customFormat="false" ht="15" hidden="false" customHeight="false" outlineLevel="0" collapsed="false">
      <c r="A69" s="14" t="s">
        <v>488</v>
      </c>
      <c r="B69" s="14" t="s">
        <v>571</v>
      </c>
      <c r="C69" s="15" t="n">
        <v>10.27</v>
      </c>
      <c r="D69" s="5" t="n">
        <f aca="false">INDEX(Doi_chieu_nguoi!$F$2:$F$13,MATCH(A69,Doi_chieu_nguoi!$A$2:$A$13,0))</f>
        <v>1684090.90909091</v>
      </c>
      <c r="E69" s="6" t="n">
        <f aca="false">C69*D69</f>
        <v>17295613.6363636</v>
      </c>
      <c r="F69" s="14" t="s">
        <v>571</v>
      </c>
    </row>
    <row r="70" customFormat="false" ht="15" hidden="false" customHeight="false" outlineLevel="0" collapsed="false">
      <c r="A70" s="14" t="s">
        <v>488</v>
      </c>
      <c r="B70" s="14" t="s">
        <v>552</v>
      </c>
      <c r="C70" s="15" t="n">
        <v>7.9</v>
      </c>
      <c r="D70" s="5" t="n">
        <f aca="false">INDEX(Doi_chieu_nguoi!$F$2:$F$13,MATCH(A70,Doi_chieu_nguoi!$A$2:$A$13,0))</f>
        <v>1684090.90909091</v>
      </c>
      <c r="E70" s="6" t="n">
        <f aca="false">C70*D70</f>
        <v>13304318.1818182</v>
      </c>
      <c r="F70" s="14" t="s">
        <v>552</v>
      </c>
    </row>
    <row r="71" customFormat="false" ht="15" hidden="false" customHeight="false" outlineLevel="0" collapsed="false">
      <c r="A71" s="14" t="s">
        <v>488</v>
      </c>
      <c r="B71" s="14" t="s">
        <v>572</v>
      </c>
      <c r="C71" s="15" t="n">
        <v>6</v>
      </c>
      <c r="D71" s="5" t="n">
        <f aca="false">INDEX(Doi_chieu_nguoi!$F$2:$F$13,MATCH(A71,Doi_chieu_nguoi!$A$2:$A$13,0))</f>
        <v>1684090.90909091</v>
      </c>
      <c r="E71" s="6" t="n">
        <f aca="false">C71*D71</f>
        <v>10104545.4545455</v>
      </c>
      <c r="F71" s="14" t="s">
        <v>572</v>
      </c>
    </row>
    <row r="72" customFormat="false" ht="15" hidden="false" customHeight="false" outlineLevel="0" collapsed="false">
      <c r="A72" s="14" t="s">
        <v>488</v>
      </c>
      <c r="B72" s="14" t="s">
        <v>573</v>
      </c>
      <c r="C72" s="15" t="n">
        <v>9</v>
      </c>
      <c r="D72" s="5" t="n">
        <f aca="false">INDEX(Doi_chieu_nguoi!$F$2:$F$13,MATCH(A72,Doi_chieu_nguoi!$A$2:$A$13,0))</f>
        <v>1684090.90909091</v>
      </c>
      <c r="E72" s="6" t="n">
        <f aca="false">C72*D72</f>
        <v>15156818.1818182</v>
      </c>
      <c r="F72" s="14" t="s">
        <v>573</v>
      </c>
    </row>
    <row r="73" customFormat="false" ht="15" hidden="false" customHeight="false" outlineLevel="0" collapsed="false">
      <c r="A73" s="14" t="s">
        <v>488</v>
      </c>
      <c r="B73" s="14" t="s">
        <v>574</v>
      </c>
      <c r="C73" s="15" t="n">
        <v>3</v>
      </c>
      <c r="D73" s="5" t="n">
        <f aca="false">INDEX(Doi_chieu_nguoi!$F$2:$F$13,MATCH(A73,Doi_chieu_nguoi!$A$2:$A$13,0))</f>
        <v>1684090.90909091</v>
      </c>
      <c r="E73" s="6" t="n">
        <f aca="false">C73*D73</f>
        <v>5052272.72727273</v>
      </c>
      <c r="F73" s="14" t="s">
        <v>574</v>
      </c>
    </row>
    <row r="74" customFormat="false" ht="15" hidden="false" customHeight="false" outlineLevel="0" collapsed="false">
      <c r="A74" s="14" t="s">
        <v>488</v>
      </c>
      <c r="B74" s="14" t="s">
        <v>554</v>
      </c>
      <c r="C74" s="15" t="n">
        <v>10</v>
      </c>
      <c r="D74" s="5" t="n">
        <f aca="false">INDEX(Doi_chieu_nguoi!$F$2:$F$13,MATCH(A74,Doi_chieu_nguoi!$A$2:$A$13,0))</f>
        <v>1684090.90909091</v>
      </c>
      <c r="E74" s="6" t="n">
        <f aca="false">C74*D74</f>
        <v>16840909.0909091</v>
      </c>
      <c r="F74" s="14" t="s">
        <v>554</v>
      </c>
    </row>
    <row r="75" customFormat="false" ht="15" hidden="false" customHeight="false" outlineLevel="0" collapsed="false">
      <c r="A75" s="14" t="s">
        <v>490</v>
      </c>
      <c r="B75" s="14" t="s">
        <v>569</v>
      </c>
      <c r="C75" s="15" t="n">
        <v>3</v>
      </c>
      <c r="D75" s="5" t="n">
        <f aca="false">INDEX(Doi_chieu_nguoi!$F$2:$F$13,MATCH(A75,Doi_chieu_nguoi!$A$2:$A$13,0))</f>
        <v>1684090.90909091</v>
      </c>
      <c r="E75" s="6" t="n">
        <f aca="false">C75*D75</f>
        <v>5052272.72727273</v>
      </c>
      <c r="F75" s="14" t="s">
        <v>569</v>
      </c>
    </row>
    <row r="76" customFormat="false" ht="15" hidden="false" customHeight="false" outlineLevel="0" collapsed="false">
      <c r="A76" s="14" t="s">
        <v>490</v>
      </c>
      <c r="B76" s="14" t="s">
        <v>549</v>
      </c>
      <c r="C76" s="15" t="n">
        <v>3.83</v>
      </c>
      <c r="D76" s="5" t="n">
        <f aca="false">INDEX(Doi_chieu_nguoi!$F$2:$F$13,MATCH(A76,Doi_chieu_nguoi!$A$2:$A$13,0))</f>
        <v>1684090.90909091</v>
      </c>
      <c r="E76" s="6" t="n">
        <f aca="false">C76*D76</f>
        <v>6450068.18181818</v>
      </c>
      <c r="F76" s="14" t="s">
        <v>549</v>
      </c>
    </row>
    <row r="77" customFormat="false" ht="15" hidden="false" customHeight="false" outlineLevel="0" collapsed="false">
      <c r="A77" s="14" t="s">
        <v>490</v>
      </c>
      <c r="B77" s="14" t="s">
        <v>570</v>
      </c>
      <c r="C77" s="15" t="n">
        <v>12.17</v>
      </c>
      <c r="D77" s="5" t="n">
        <f aca="false">INDEX(Doi_chieu_nguoi!$F$2:$F$13,MATCH(A77,Doi_chieu_nguoi!$A$2:$A$13,0))</f>
        <v>1684090.90909091</v>
      </c>
      <c r="E77" s="6" t="n">
        <f aca="false">C77*D77</f>
        <v>20495386.3636364</v>
      </c>
      <c r="F77" s="14" t="s">
        <v>570</v>
      </c>
    </row>
    <row r="78" customFormat="false" ht="15" hidden="false" customHeight="false" outlineLevel="0" collapsed="false">
      <c r="A78" s="14" t="s">
        <v>490</v>
      </c>
      <c r="B78" s="14" t="s">
        <v>571</v>
      </c>
      <c r="C78" s="15" t="n">
        <v>8.25</v>
      </c>
      <c r="D78" s="5" t="n">
        <f aca="false">INDEX(Doi_chieu_nguoi!$F$2:$F$13,MATCH(A78,Doi_chieu_nguoi!$A$2:$A$13,0))</f>
        <v>1684090.90909091</v>
      </c>
      <c r="E78" s="6" t="n">
        <f aca="false">C78*D78</f>
        <v>13893750</v>
      </c>
      <c r="F78" s="14" t="s">
        <v>571</v>
      </c>
    </row>
    <row r="79" customFormat="false" ht="15" hidden="false" customHeight="false" outlineLevel="0" collapsed="false">
      <c r="A79" s="14" t="s">
        <v>490</v>
      </c>
      <c r="B79" s="14" t="s">
        <v>552</v>
      </c>
      <c r="C79" s="15" t="n">
        <v>6.25</v>
      </c>
      <c r="D79" s="5" t="n">
        <f aca="false">INDEX(Doi_chieu_nguoi!$F$2:$F$13,MATCH(A79,Doi_chieu_nguoi!$A$2:$A$13,0))</f>
        <v>1684090.90909091</v>
      </c>
      <c r="E79" s="6" t="n">
        <f aca="false">C79*D79</f>
        <v>10525568.1818182</v>
      </c>
      <c r="F79" s="14" t="s">
        <v>552</v>
      </c>
    </row>
    <row r="80" customFormat="false" ht="15" hidden="false" customHeight="false" outlineLevel="0" collapsed="false">
      <c r="A80" s="14" t="s">
        <v>490</v>
      </c>
      <c r="B80" s="14" t="s">
        <v>572</v>
      </c>
      <c r="C80" s="15" t="n">
        <v>7</v>
      </c>
      <c r="D80" s="5" t="n">
        <f aca="false">INDEX(Doi_chieu_nguoi!$F$2:$F$13,MATCH(A80,Doi_chieu_nguoi!$A$2:$A$13,0))</f>
        <v>1684090.90909091</v>
      </c>
      <c r="E80" s="6" t="n">
        <f aca="false">C80*D80</f>
        <v>11788636.3636364</v>
      </c>
      <c r="F80" s="14" t="s">
        <v>572</v>
      </c>
    </row>
    <row r="81" customFormat="false" ht="15" hidden="false" customHeight="false" outlineLevel="0" collapsed="false">
      <c r="A81" s="14" t="s">
        <v>490</v>
      </c>
      <c r="B81" s="14" t="s">
        <v>573</v>
      </c>
      <c r="C81" s="15" t="n">
        <v>9</v>
      </c>
      <c r="D81" s="5" t="n">
        <f aca="false">INDEX(Doi_chieu_nguoi!$F$2:$F$13,MATCH(A81,Doi_chieu_nguoi!$A$2:$A$13,0))</f>
        <v>1684090.90909091</v>
      </c>
      <c r="E81" s="6" t="n">
        <f aca="false">C81*D81</f>
        <v>15156818.1818182</v>
      </c>
      <c r="F81" s="14" t="s">
        <v>573</v>
      </c>
    </row>
    <row r="82" customFormat="false" ht="15" hidden="false" customHeight="false" outlineLevel="0" collapsed="false">
      <c r="A82" s="14" t="s">
        <v>490</v>
      </c>
      <c r="B82" s="14" t="s">
        <v>574</v>
      </c>
      <c r="C82" s="15" t="n">
        <v>6.5</v>
      </c>
      <c r="D82" s="5" t="n">
        <f aca="false">INDEX(Doi_chieu_nguoi!$F$2:$F$13,MATCH(A82,Doi_chieu_nguoi!$A$2:$A$13,0))</f>
        <v>1684090.90909091</v>
      </c>
      <c r="E82" s="6" t="n">
        <f aca="false">C82*D82</f>
        <v>10946590.9090909</v>
      </c>
      <c r="F82" s="14" t="s">
        <v>574</v>
      </c>
    </row>
    <row r="83" customFormat="false" ht="15" hidden="false" customHeight="false" outlineLevel="0" collapsed="false">
      <c r="A83" s="14" t="s">
        <v>490</v>
      </c>
      <c r="B83" s="14" t="s">
        <v>554</v>
      </c>
      <c r="C83" s="15" t="n">
        <v>3.5</v>
      </c>
      <c r="D83" s="5" t="n">
        <f aca="false">INDEX(Doi_chieu_nguoi!$F$2:$F$13,MATCH(A83,Doi_chieu_nguoi!$A$2:$A$13,0))</f>
        <v>1684090.90909091</v>
      </c>
      <c r="E83" s="6" t="n">
        <f aca="false">C83*D83</f>
        <v>5894318.18181818</v>
      </c>
      <c r="F83" s="14" t="s">
        <v>554</v>
      </c>
    </row>
    <row r="84" customFormat="false" ht="15" hidden="false" customHeight="false" outlineLevel="0" collapsed="false">
      <c r="A84" s="14" t="s">
        <v>492</v>
      </c>
      <c r="B84" s="14" t="s">
        <v>569</v>
      </c>
      <c r="C84" s="15" t="n">
        <v>0</v>
      </c>
      <c r="D84" s="5" t="n">
        <f aca="false">INDEX(Doi_chieu_nguoi!$F$2:$F$13,MATCH(A84,Doi_chieu_nguoi!$A$2:$A$13,0))</f>
        <v>1347272.72727273</v>
      </c>
      <c r="E84" s="6" t="n">
        <f aca="false">C84*D84</f>
        <v>0</v>
      </c>
      <c r="F84" s="14" t="s">
        <v>569</v>
      </c>
    </row>
    <row r="85" customFormat="false" ht="15" hidden="false" customHeight="false" outlineLevel="0" collapsed="false">
      <c r="A85" s="14" t="s">
        <v>492</v>
      </c>
      <c r="B85" s="14" t="s">
        <v>549</v>
      </c>
      <c r="C85" s="15" t="n">
        <v>3</v>
      </c>
      <c r="D85" s="5" t="n">
        <f aca="false">INDEX(Doi_chieu_nguoi!$F$2:$F$13,MATCH(A85,Doi_chieu_nguoi!$A$2:$A$13,0))</f>
        <v>1347272.72727273</v>
      </c>
      <c r="E85" s="6" t="n">
        <f aca="false">C85*D85</f>
        <v>4041818.18181818</v>
      </c>
      <c r="F85" s="14" t="s">
        <v>549</v>
      </c>
    </row>
    <row r="86" customFormat="false" ht="15" hidden="false" customHeight="false" outlineLevel="0" collapsed="false">
      <c r="A86" s="14" t="s">
        <v>492</v>
      </c>
      <c r="B86" s="14" t="s">
        <v>570</v>
      </c>
      <c r="C86" s="15" t="n">
        <v>8.75</v>
      </c>
      <c r="D86" s="5" t="n">
        <f aca="false">INDEX(Doi_chieu_nguoi!$F$2:$F$13,MATCH(A86,Doi_chieu_nguoi!$A$2:$A$13,0))</f>
        <v>1347272.72727273</v>
      </c>
      <c r="E86" s="6" t="n">
        <f aca="false">C86*D86</f>
        <v>11788636.3636364</v>
      </c>
      <c r="F86" s="14" t="s">
        <v>570</v>
      </c>
    </row>
    <row r="87" customFormat="false" ht="15" hidden="false" customHeight="false" outlineLevel="0" collapsed="false">
      <c r="A87" s="14" t="s">
        <v>492</v>
      </c>
      <c r="B87" s="14" t="s">
        <v>571</v>
      </c>
      <c r="C87" s="15" t="n">
        <v>11.16</v>
      </c>
      <c r="D87" s="5" t="n">
        <f aca="false">INDEX(Doi_chieu_nguoi!$F$2:$F$13,MATCH(A87,Doi_chieu_nguoi!$A$2:$A$13,0))</f>
        <v>1347272.72727273</v>
      </c>
      <c r="E87" s="6" t="n">
        <f aca="false">C87*D87</f>
        <v>15035563.6363636</v>
      </c>
      <c r="F87" s="14" t="s">
        <v>571</v>
      </c>
    </row>
    <row r="88" customFormat="false" ht="15" hidden="false" customHeight="false" outlineLevel="0" collapsed="false">
      <c r="A88" s="14" t="s">
        <v>492</v>
      </c>
      <c r="B88" s="14" t="s">
        <v>552</v>
      </c>
      <c r="C88" s="15" t="n">
        <v>9.09</v>
      </c>
      <c r="D88" s="5" t="n">
        <f aca="false">INDEX(Doi_chieu_nguoi!$F$2:$F$13,MATCH(A88,Doi_chieu_nguoi!$A$2:$A$13,0))</f>
        <v>1347272.72727273</v>
      </c>
      <c r="E88" s="6" t="n">
        <f aca="false">C88*D88</f>
        <v>12246709.0909091</v>
      </c>
      <c r="F88" s="14" t="s">
        <v>552</v>
      </c>
    </row>
    <row r="89" customFormat="false" ht="15" hidden="false" customHeight="false" outlineLevel="0" collapsed="false">
      <c r="A89" s="14" t="s">
        <v>492</v>
      </c>
      <c r="B89" s="14" t="s">
        <v>572</v>
      </c>
      <c r="C89" s="15" t="n">
        <v>4</v>
      </c>
      <c r="D89" s="5" t="n">
        <f aca="false">INDEX(Doi_chieu_nguoi!$F$2:$F$13,MATCH(A89,Doi_chieu_nguoi!$A$2:$A$13,0))</f>
        <v>1347272.72727273</v>
      </c>
      <c r="E89" s="6" t="n">
        <f aca="false">C89*D89</f>
        <v>5389090.90909091</v>
      </c>
      <c r="F89" s="14" t="s">
        <v>572</v>
      </c>
    </row>
    <row r="90" customFormat="false" ht="15" hidden="false" customHeight="false" outlineLevel="0" collapsed="false">
      <c r="A90" s="14" t="s">
        <v>492</v>
      </c>
      <c r="B90" s="14" t="s">
        <v>573</v>
      </c>
      <c r="C90" s="15" t="n">
        <v>7</v>
      </c>
      <c r="D90" s="5" t="n">
        <f aca="false">INDEX(Doi_chieu_nguoi!$F$2:$F$13,MATCH(A90,Doi_chieu_nguoi!$A$2:$A$13,0))</f>
        <v>1347272.72727273</v>
      </c>
      <c r="E90" s="6" t="n">
        <f aca="false">C90*D90</f>
        <v>9430909.09090909</v>
      </c>
      <c r="F90" s="14" t="s">
        <v>573</v>
      </c>
    </row>
    <row r="91" customFormat="false" ht="15" hidden="false" customHeight="false" outlineLevel="0" collapsed="false">
      <c r="A91" s="14" t="s">
        <v>492</v>
      </c>
      <c r="B91" s="14" t="s">
        <v>574</v>
      </c>
      <c r="C91" s="15" t="n">
        <v>1</v>
      </c>
      <c r="D91" s="5" t="n">
        <f aca="false">INDEX(Doi_chieu_nguoi!$F$2:$F$13,MATCH(A91,Doi_chieu_nguoi!$A$2:$A$13,0))</f>
        <v>1347272.72727273</v>
      </c>
      <c r="E91" s="6" t="n">
        <f aca="false">C91*D91</f>
        <v>1347272.72727273</v>
      </c>
      <c r="F91" s="14" t="s">
        <v>574</v>
      </c>
    </row>
    <row r="92" customFormat="false" ht="15" hidden="false" customHeight="false" outlineLevel="0" collapsed="false">
      <c r="A92" s="14" t="s">
        <v>492</v>
      </c>
      <c r="B92" s="14" t="s">
        <v>554</v>
      </c>
      <c r="C92" s="15" t="n">
        <v>5.5</v>
      </c>
      <c r="D92" s="5" t="n">
        <f aca="false">INDEX(Doi_chieu_nguoi!$F$2:$F$13,MATCH(A92,Doi_chieu_nguoi!$A$2:$A$13,0))</f>
        <v>1347272.72727273</v>
      </c>
      <c r="E92" s="6" t="n">
        <f aca="false">C92*D92</f>
        <v>7410000</v>
      </c>
      <c r="F92" s="14" t="s">
        <v>554</v>
      </c>
    </row>
    <row r="93" customFormat="false" ht="15" hidden="false" customHeight="false" outlineLevel="0" collapsed="false">
      <c r="A93" s="14" t="s">
        <v>494</v>
      </c>
      <c r="B93" s="14" t="s">
        <v>569</v>
      </c>
      <c r="C93" s="15" t="n">
        <v>0</v>
      </c>
      <c r="D93" s="5" t="n">
        <f aca="false">INDEX(Doi_chieu_nguoi!$F$2:$F$13,MATCH(A93,Doi_chieu_nguoi!$A$2:$A$13,0))</f>
        <v>1347272.72727273</v>
      </c>
      <c r="E93" s="6" t="n">
        <f aca="false">C93*D93</f>
        <v>0</v>
      </c>
      <c r="F93" s="14" t="s">
        <v>569</v>
      </c>
    </row>
    <row r="94" customFormat="false" ht="15" hidden="false" customHeight="false" outlineLevel="0" collapsed="false">
      <c r="A94" s="14" t="s">
        <v>494</v>
      </c>
      <c r="B94" s="14" t="s">
        <v>549</v>
      </c>
      <c r="C94" s="15" t="n">
        <v>0</v>
      </c>
      <c r="D94" s="5" t="n">
        <f aca="false">INDEX(Doi_chieu_nguoi!$F$2:$F$13,MATCH(A94,Doi_chieu_nguoi!$A$2:$A$13,0))</f>
        <v>1347272.72727273</v>
      </c>
      <c r="E94" s="6" t="n">
        <f aca="false">C94*D94</f>
        <v>0</v>
      </c>
      <c r="F94" s="14" t="s">
        <v>549</v>
      </c>
    </row>
    <row r="95" customFormat="false" ht="15" hidden="false" customHeight="false" outlineLevel="0" collapsed="false">
      <c r="A95" s="14" t="s">
        <v>494</v>
      </c>
      <c r="B95" s="14" t="s">
        <v>570</v>
      </c>
      <c r="C95" s="15" t="n">
        <v>6</v>
      </c>
      <c r="D95" s="5" t="n">
        <f aca="false">INDEX(Doi_chieu_nguoi!$F$2:$F$13,MATCH(A95,Doi_chieu_nguoi!$A$2:$A$13,0))</f>
        <v>1347272.72727273</v>
      </c>
      <c r="E95" s="6" t="n">
        <f aca="false">C95*D95</f>
        <v>8083636.36363637</v>
      </c>
      <c r="F95" s="14" t="s">
        <v>570</v>
      </c>
    </row>
    <row r="96" customFormat="false" ht="15" hidden="false" customHeight="false" outlineLevel="0" collapsed="false">
      <c r="A96" s="14" t="s">
        <v>494</v>
      </c>
      <c r="B96" s="14" t="s">
        <v>571</v>
      </c>
      <c r="C96" s="15" t="n">
        <v>9.73</v>
      </c>
      <c r="D96" s="5" t="n">
        <f aca="false">INDEX(Doi_chieu_nguoi!$F$2:$F$13,MATCH(A96,Doi_chieu_nguoi!$A$2:$A$13,0))</f>
        <v>1347272.72727273</v>
      </c>
      <c r="E96" s="6" t="n">
        <f aca="false">C96*D96</f>
        <v>13108963.6363636</v>
      </c>
      <c r="F96" s="14" t="s">
        <v>571</v>
      </c>
    </row>
    <row r="97" customFormat="false" ht="15" hidden="false" customHeight="false" outlineLevel="0" collapsed="false">
      <c r="A97" s="14" t="s">
        <v>494</v>
      </c>
      <c r="B97" s="14" t="s">
        <v>552</v>
      </c>
      <c r="C97" s="15" t="n">
        <v>9.25</v>
      </c>
      <c r="D97" s="5" t="n">
        <f aca="false">INDEX(Doi_chieu_nguoi!$F$2:$F$13,MATCH(A97,Doi_chieu_nguoi!$A$2:$A$13,0))</f>
        <v>1347272.72727273</v>
      </c>
      <c r="E97" s="6" t="n">
        <f aca="false">C97*D97</f>
        <v>12462272.7272727</v>
      </c>
      <c r="F97" s="14" t="s">
        <v>552</v>
      </c>
    </row>
    <row r="98" customFormat="false" ht="15" hidden="false" customHeight="false" outlineLevel="0" collapsed="false">
      <c r="A98" s="14" t="s">
        <v>494</v>
      </c>
      <c r="B98" s="14" t="s">
        <v>572</v>
      </c>
      <c r="C98" s="15" t="n">
        <v>7.02</v>
      </c>
      <c r="D98" s="5" t="n">
        <f aca="false">INDEX(Doi_chieu_nguoi!$F$2:$F$13,MATCH(A98,Doi_chieu_nguoi!$A$2:$A$13,0))</f>
        <v>1347272.72727273</v>
      </c>
      <c r="E98" s="6" t="n">
        <f aca="false">C98*D98</f>
        <v>9457854.54545455</v>
      </c>
      <c r="F98" s="14" t="s">
        <v>572</v>
      </c>
    </row>
    <row r="99" customFormat="false" ht="15" hidden="false" customHeight="false" outlineLevel="0" collapsed="false">
      <c r="A99" s="14" t="s">
        <v>494</v>
      </c>
      <c r="B99" s="14" t="s">
        <v>573</v>
      </c>
      <c r="C99" s="15" t="n">
        <v>9</v>
      </c>
      <c r="D99" s="5" t="n">
        <f aca="false">INDEX(Doi_chieu_nguoi!$F$2:$F$13,MATCH(A99,Doi_chieu_nguoi!$A$2:$A$13,0))</f>
        <v>1347272.72727273</v>
      </c>
      <c r="E99" s="6" t="n">
        <f aca="false">C99*D99</f>
        <v>12125454.5454545</v>
      </c>
      <c r="F99" s="14" t="s">
        <v>573</v>
      </c>
    </row>
    <row r="100" customFormat="false" ht="15" hidden="false" customHeight="false" outlineLevel="0" collapsed="false">
      <c r="A100" s="14" t="s">
        <v>494</v>
      </c>
      <c r="B100" s="14" t="s">
        <v>574</v>
      </c>
      <c r="C100" s="15" t="n">
        <v>1</v>
      </c>
      <c r="D100" s="5" t="n">
        <f aca="false">INDEX(Doi_chieu_nguoi!$F$2:$F$13,MATCH(A100,Doi_chieu_nguoi!$A$2:$A$13,0))</f>
        <v>1347272.72727273</v>
      </c>
      <c r="E100" s="6" t="n">
        <f aca="false">C100*D100</f>
        <v>1347272.72727273</v>
      </c>
      <c r="F100" s="14" t="s">
        <v>574</v>
      </c>
    </row>
    <row r="101" customFormat="false" ht="15" hidden="false" customHeight="false" outlineLevel="0" collapsed="false">
      <c r="A101" s="14" t="s">
        <v>494</v>
      </c>
      <c r="B101" s="14" t="s">
        <v>554</v>
      </c>
      <c r="C101" s="15" t="n">
        <v>8</v>
      </c>
      <c r="D101" s="5" t="n">
        <f aca="false">INDEX(Doi_chieu_nguoi!$F$2:$F$13,MATCH(A101,Doi_chieu_nguoi!$A$2:$A$13,0))</f>
        <v>1347272.72727273</v>
      </c>
      <c r="E101" s="6" t="n">
        <f aca="false">C101*D101</f>
        <v>10778181.8181818</v>
      </c>
      <c r="F101" s="14" t="s">
        <v>554</v>
      </c>
    </row>
    <row r="102" customFormat="false" ht="15" hidden="false" customHeight="false" outlineLevel="0" collapsed="false">
      <c r="A102" s="14" t="s">
        <v>496</v>
      </c>
      <c r="B102" s="14" t="s">
        <v>569</v>
      </c>
      <c r="C102" s="15" t="n">
        <v>0</v>
      </c>
      <c r="D102" s="5" t="n">
        <f aca="false">INDEX(Doi_chieu_nguoi!$F$2:$F$13,MATCH(A102,Doi_chieu_nguoi!$A$2:$A$13,0))</f>
        <v>1684090.90909091</v>
      </c>
      <c r="E102" s="6" t="n">
        <f aca="false">C102*D102</f>
        <v>0</v>
      </c>
      <c r="F102" s="14" t="s">
        <v>569</v>
      </c>
    </row>
    <row r="103" customFormat="false" ht="15" hidden="false" customHeight="false" outlineLevel="0" collapsed="false">
      <c r="A103" s="14" t="s">
        <v>496</v>
      </c>
      <c r="B103" s="14" t="s">
        <v>549</v>
      </c>
      <c r="C103" s="15" t="n">
        <v>0</v>
      </c>
      <c r="D103" s="5" t="n">
        <f aca="false">INDEX(Doi_chieu_nguoi!$F$2:$F$13,MATCH(A103,Doi_chieu_nguoi!$A$2:$A$13,0))</f>
        <v>1684090.90909091</v>
      </c>
      <c r="E103" s="6" t="n">
        <f aca="false">C103*D103</f>
        <v>0</v>
      </c>
      <c r="F103" s="14" t="s">
        <v>549</v>
      </c>
    </row>
    <row r="104" customFormat="false" ht="15" hidden="false" customHeight="false" outlineLevel="0" collapsed="false">
      <c r="A104" s="14" t="s">
        <v>496</v>
      </c>
      <c r="B104" s="14" t="s">
        <v>570</v>
      </c>
      <c r="C104" s="15" t="n">
        <v>12.83</v>
      </c>
      <c r="D104" s="5" t="n">
        <f aca="false">INDEX(Doi_chieu_nguoi!$F$2:$F$13,MATCH(A104,Doi_chieu_nguoi!$A$2:$A$13,0))</f>
        <v>1684090.90909091</v>
      </c>
      <c r="E104" s="6" t="n">
        <f aca="false">C104*D104</f>
        <v>21606886.3636364</v>
      </c>
      <c r="F104" s="14" t="s">
        <v>570</v>
      </c>
    </row>
    <row r="105" customFormat="false" ht="15" hidden="false" customHeight="false" outlineLevel="0" collapsed="false">
      <c r="A105" s="14" t="s">
        <v>496</v>
      </c>
      <c r="B105" s="14" t="s">
        <v>571</v>
      </c>
      <c r="C105" s="15" t="n">
        <v>10.17</v>
      </c>
      <c r="D105" s="5" t="n">
        <f aca="false">INDEX(Doi_chieu_nguoi!$F$2:$F$13,MATCH(A105,Doi_chieu_nguoi!$A$2:$A$13,0))</f>
        <v>1684090.90909091</v>
      </c>
      <c r="E105" s="6" t="n">
        <f aca="false">C105*D105</f>
        <v>17127204.5454545</v>
      </c>
      <c r="F105" s="14" t="s">
        <v>571</v>
      </c>
    </row>
    <row r="106" customFormat="false" ht="15" hidden="false" customHeight="false" outlineLevel="0" collapsed="false">
      <c r="A106" s="14" t="s">
        <v>496</v>
      </c>
      <c r="B106" s="14" t="s">
        <v>552</v>
      </c>
      <c r="C106" s="15" t="n">
        <v>10</v>
      </c>
      <c r="D106" s="5" t="n">
        <f aca="false">INDEX(Doi_chieu_nguoi!$F$2:$F$13,MATCH(A106,Doi_chieu_nguoi!$A$2:$A$13,0))</f>
        <v>1684090.90909091</v>
      </c>
      <c r="E106" s="6" t="n">
        <f aca="false">C106*D106</f>
        <v>16840909.0909091</v>
      </c>
      <c r="F106" s="14" t="s">
        <v>552</v>
      </c>
    </row>
    <row r="107" customFormat="false" ht="15" hidden="false" customHeight="false" outlineLevel="0" collapsed="false">
      <c r="A107" s="14" t="s">
        <v>496</v>
      </c>
      <c r="B107" s="14" t="s">
        <v>572</v>
      </c>
      <c r="C107" s="15" t="n">
        <v>10</v>
      </c>
      <c r="D107" s="5" t="n">
        <f aca="false">INDEX(Doi_chieu_nguoi!$F$2:$F$13,MATCH(A107,Doi_chieu_nguoi!$A$2:$A$13,0))</f>
        <v>1684090.90909091</v>
      </c>
      <c r="E107" s="6" t="n">
        <f aca="false">C107*D107</f>
        <v>16840909.0909091</v>
      </c>
      <c r="F107" s="14" t="s">
        <v>572</v>
      </c>
    </row>
    <row r="108" customFormat="false" ht="15" hidden="false" customHeight="false" outlineLevel="0" collapsed="false">
      <c r="A108" s="14" t="s">
        <v>496</v>
      </c>
      <c r="B108" s="14" t="s">
        <v>573</v>
      </c>
      <c r="C108" s="15" t="n">
        <v>3</v>
      </c>
      <c r="D108" s="5" t="n">
        <f aca="false">INDEX(Doi_chieu_nguoi!$F$2:$F$13,MATCH(A108,Doi_chieu_nguoi!$A$2:$A$13,0))</f>
        <v>1684090.90909091</v>
      </c>
      <c r="E108" s="6" t="n">
        <f aca="false">C108*D108</f>
        <v>5052272.72727273</v>
      </c>
      <c r="F108" s="14" t="s">
        <v>573</v>
      </c>
    </row>
    <row r="109" customFormat="false" ht="15" hidden="false" customHeight="false" outlineLevel="0" collapsed="false">
      <c r="A109" s="14" t="s">
        <v>496</v>
      </c>
      <c r="B109" s="14" t="s">
        <v>574</v>
      </c>
      <c r="C109" s="15" t="n">
        <v>7.5</v>
      </c>
      <c r="D109" s="5" t="n">
        <f aca="false">INDEX(Doi_chieu_nguoi!$F$2:$F$13,MATCH(A109,Doi_chieu_nguoi!$A$2:$A$13,0))</f>
        <v>1684090.90909091</v>
      </c>
      <c r="E109" s="6" t="n">
        <f aca="false">C109*D109</f>
        <v>12630681.8181818</v>
      </c>
      <c r="F109" s="14" t="s">
        <v>574</v>
      </c>
    </row>
    <row r="110" customFormat="false" ht="15" hidden="false" customHeight="false" outlineLevel="0" collapsed="false">
      <c r="A110" s="14" t="s">
        <v>496</v>
      </c>
      <c r="B110" s="14" t="s">
        <v>554</v>
      </c>
      <c r="C110" s="15" t="n">
        <v>5</v>
      </c>
      <c r="D110" s="5" t="n">
        <f aca="false">INDEX(Doi_chieu_nguoi!$F$2:$F$13,MATCH(A110,Doi_chieu_nguoi!$A$2:$A$13,0))</f>
        <v>1684090.90909091</v>
      </c>
      <c r="E110" s="6" t="n">
        <f aca="false">C110*D110</f>
        <v>8420454.54545455</v>
      </c>
      <c r="F110" s="14" t="s">
        <v>554</v>
      </c>
    </row>
    <row r="112" customFormat="false" ht="15" hidden="false" customHeight="false" outlineLevel="0" collapsed="false">
      <c r="A112" s="8" t="s">
        <v>583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2026-10-25T10:46:12Z</dcterms:created>
  <dc:creator>Trần Bá Đạt</dc:creator>
  <dc:description/>
  <dc:language>en-US</dc:language>
  <cp:lastModifiedBy>Trần Bá Đạt</cp:lastModifiedBy>
  <dcterms:modified xsi:type="dcterms:W3CDTF">2026-10-25T10:46:12Z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